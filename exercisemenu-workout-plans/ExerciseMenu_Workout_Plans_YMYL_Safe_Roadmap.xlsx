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maining Plans" sheetId="1" state="visible" r:id="rId1"/>
    <sheet xmlns:r="http://schemas.openxmlformats.org/officeDocument/2006/relationships" name="Removed (YMYL Risk)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YMYL Criteri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2EFDA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mainingPlans" displayName="RemainingPlans" ref="A1:L87" headerRowCount="1" totalsRowCount="0" totalsRowShown="0">
  <autoFilter ref="A1:L87"/>
  <tableColumns count="12">
    <tableColumn id="1" name="#"/>
    <tableColumn id="2" name="Category"/>
    <tableColumn id="3" name="Plan Name"/>
    <tableColumn id="4" name="Target Keyword"/>
    <tableColumn id="5" name="Volume (roadmap)"/>
    <tableColumn id="6" name="Volume Verified?"/>
    <tableColumn id="7" name="KD"/>
    <tableColumn id="8" name="Priority"/>
    <tableColumn id="9" name="Suggested Slug (/workout-plans/...)"/>
    <tableColumn id="10" name="Internal Links (roadmap)"/>
    <tableColumn id="11" name="Status"/>
    <tableColumn id="12" name="YMYL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" min="1" max="1"/>
    <col width="24" customWidth="1" style="5" min="2" max="2"/>
    <col width="40" customWidth="1" style="5" min="3" max="3"/>
    <col width="32" customWidth="1" style="5" min="4" max="4"/>
    <col width="12" customWidth="1" style="5" min="5" max="5"/>
    <col width="13" customWidth="1" style="5" min="6" max="6"/>
    <col width="9" customWidth="1" style="5" min="7" max="8"/>
    <col width="34" customWidth="1" style="5" min="9" max="10"/>
    <col width="16" customWidth="1" style="5" min="11" max="11"/>
    <col width="46" customWidth="1" style="5" min="12" max="12"/>
  </cols>
  <sheetData>
    <row r="1" ht="30" customHeight="1" s="6">
      <c r="A1" s="7" t="inlineStr">
        <is>
          <t>#</t>
        </is>
      </c>
      <c r="B1" s="7" t="inlineStr">
        <is>
          <t>Category</t>
        </is>
      </c>
      <c r="C1" s="7" t="inlineStr">
        <is>
          <t>Plan Name</t>
        </is>
      </c>
      <c r="D1" s="7" t="inlineStr">
        <is>
          <t>Target Keyword</t>
        </is>
      </c>
      <c r="E1" s="7" t="inlineStr">
        <is>
          <t>Volume (roadmap)</t>
        </is>
      </c>
      <c r="F1" s="7" t="inlineStr">
        <is>
          <t>Volume Verified?</t>
        </is>
      </c>
      <c r="G1" s="7" t="inlineStr">
        <is>
          <t>KD</t>
        </is>
      </c>
      <c r="H1" s="7" t="inlineStr">
        <is>
          <t>Priority</t>
        </is>
      </c>
      <c r="I1" s="7" t="inlineStr">
        <is>
          <t>Suggested Slug (/workout-plans/...)</t>
        </is>
      </c>
      <c r="J1" s="7" t="inlineStr">
        <is>
          <t>Internal Links (roadmap)</t>
        </is>
      </c>
      <c r="K1" s="7" t="inlineStr">
        <is>
          <t>Status</t>
        </is>
      </c>
      <c r="L1" s="7" t="inlineStr">
        <is>
          <t>YMYL Notes</t>
        </is>
      </c>
    </row>
    <row r="2" ht="23.85" customHeight="1" s="6">
      <c r="A2" s="8" t="n">
        <v>1</v>
      </c>
      <c r="B2" s="8" t="inlineStr">
        <is>
          <t>Muscle Building &amp; Hypertrophy</t>
        </is>
      </c>
      <c r="C2" s="8" t="inlineStr">
        <is>
          <t>Push Pull Legs Workout Plan (6-Day PPL)</t>
        </is>
      </c>
      <c r="D2" s="8" t="inlineStr">
        <is>
          <t>push pull legs workout plan</t>
        </is>
      </c>
      <c r="E2" s="8" t="inlineStr">
        <is>
          <t>12.1K</t>
        </is>
      </c>
      <c r="F2" s="8" t="inlineStr">
        <is>
          <t>Yes</t>
        </is>
      </c>
      <c r="G2" s="8" t="inlineStr">
        <is>
          <t>Low-Med</t>
        </is>
      </c>
      <c r="H2" s="8" t="inlineStr">
        <is>
          <t>P1</t>
        </is>
      </c>
      <c r="I2" s="8" t="inlineStr">
        <is>
          <t>push-pull-legs</t>
        </is>
      </c>
      <c r="J2" s="8" t="inlineStr">
        <is>
          <t>Bench, Squat, Deadlift, Reps guides</t>
        </is>
      </c>
      <c r="K2" s="9" t="inlineStr">
        <is>
          <t>Written (Batch 1)</t>
        </is>
      </c>
      <c r="L2" s="8" t="n"/>
    </row>
    <row r="3" ht="23.85" customHeight="1" s="6">
      <c r="A3" s="8" t="n">
        <v>2</v>
      </c>
      <c r="B3" s="8" t="inlineStr">
        <is>
          <t>Muscle Building &amp; Hypertrophy</t>
        </is>
      </c>
      <c r="C3" s="8" t="inlineStr">
        <is>
          <t>Full Body Workout Plan for Beginners (3-Day)</t>
        </is>
      </c>
      <c r="D3" s="8" t="inlineStr">
        <is>
          <t>gym workout plan (beginner intent)</t>
        </is>
      </c>
      <c r="E3" s="8" t="inlineStr">
        <is>
          <t>40.5K</t>
        </is>
      </c>
      <c r="F3" s="8" t="inlineStr">
        <is>
          <t>Yes</t>
        </is>
      </c>
      <c r="G3" s="8" t="inlineStr">
        <is>
          <t>12</t>
        </is>
      </c>
      <c r="H3" s="8" t="inlineStr">
        <is>
          <t>P1</t>
        </is>
      </c>
      <c r="I3" s="8" t="inlineStr">
        <is>
          <t>full-body-workout-plan</t>
        </is>
      </c>
      <c r="J3" s="8" t="inlineStr">
        <is>
          <t>All compound lift guides, Equipment</t>
        </is>
      </c>
      <c r="K3" s="9" t="inlineStr">
        <is>
          <t>Written (Batch 1)</t>
        </is>
      </c>
      <c r="L3" s="8" t="n"/>
    </row>
    <row r="4" ht="23.85" customHeight="1" s="6">
      <c r="A4" s="8" t="n">
        <v>3</v>
      </c>
      <c r="B4" s="8" t="inlineStr">
        <is>
          <t>Muscle Building &amp; Hypertrophy</t>
        </is>
      </c>
      <c r="C4" s="8" t="inlineStr">
        <is>
          <t>4-Day Upper Lower Split Workout</t>
        </is>
      </c>
      <c r="D4" s="8" t="inlineStr">
        <is>
          <t>upper lower split</t>
        </is>
      </c>
      <c r="E4" s="8" t="inlineStr">
        <is>
          <t>9.9K</t>
        </is>
      </c>
      <c r="F4" s="8" t="inlineStr">
        <is>
          <t>Yes</t>
        </is>
      </c>
      <c r="G4" s="8" t="inlineStr">
        <is>
          <t>Low-Med</t>
        </is>
      </c>
      <c r="H4" s="8" t="inlineStr">
        <is>
          <t>P1</t>
        </is>
      </c>
      <c r="I4" s="8" t="inlineStr">
        <is>
          <t>upper-lower-split</t>
        </is>
      </c>
      <c r="J4" s="8" t="inlineStr">
        <is>
          <t>Bench, Squat, Deadlift, Cable guides</t>
        </is>
      </c>
      <c r="K4" s="9" t="inlineStr">
        <is>
          <t>Written (Batch 1)</t>
        </is>
      </c>
      <c r="L4" s="8" t="n"/>
    </row>
    <row r="5" ht="23.85" customHeight="1" s="6">
      <c r="A5" s="8" t="n">
        <v>4</v>
      </c>
      <c r="B5" s="8" t="inlineStr">
        <is>
          <t>Muscle Building &amp; Hypertrophy</t>
        </is>
      </c>
      <c r="C5" s="8" t="inlineStr">
        <is>
          <t>5×5 Strength &amp; Muscle Program</t>
        </is>
      </c>
      <c r="D5" s="8" t="inlineStr">
        <is>
          <t>5x5 workout</t>
        </is>
      </c>
      <c r="E5" s="8" t="inlineStr">
        <is>
          <t>6.6K</t>
        </is>
      </c>
      <c r="F5" s="8" t="inlineStr">
        <is>
          <t>Yes</t>
        </is>
      </c>
      <c r="G5" s="8" t="inlineStr">
        <is>
          <t>Low-Med</t>
        </is>
      </c>
      <c r="H5" s="8" t="inlineStr">
        <is>
          <t>P1</t>
        </is>
      </c>
      <c r="I5" s="8" t="inlineStr">
        <is>
          <t>5x5-workout</t>
        </is>
      </c>
      <c r="J5" s="8" t="inlineStr">
        <is>
          <t>Squat, Bench, Deadlift, Reps guides</t>
        </is>
      </c>
      <c r="K5" s="9" t="inlineStr">
        <is>
          <t>Written (Batch 1)</t>
        </is>
      </c>
      <c r="L5" s="8" t="n"/>
    </row>
    <row r="6" ht="23.85" customHeight="1" s="6">
      <c r="A6" s="8" t="n">
        <v>5</v>
      </c>
      <c r="B6" s="8" t="inlineStr">
        <is>
          <t>Muscle Building &amp; Hypertrophy</t>
        </is>
      </c>
      <c r="C6" s="8" t="inlineStr">
        <is>
          <t>Bro Split 5-Day Workout Plan</t>
        </is>
      </c>
      <c r="D6" s="8" t="inlineStr">
        <is>
          <t>bro split workout plan</t>
        </is>
      </c>
      <c r="E6" s="8" t="inlineStr">
        <is>
          <t>9.9K</t>
        </is>
      </c>
      <c r="F6" s="8" t="inlineStr">
        <is>
          <t>Yes</t>
        </is>
      </c>
      <c r="G6" s="8" t="inlineStr">
        <is>
          <t>Low</t>
        </is>
      </c>
      <c r="H6" s="8" t="inlineStr">
        <is>
          <t>P1</t>
        </is>
      </c>
      <c r="I6" s="8" t="inlineStr">
        <is>
          <t>bro-split</t>
        </is>
      </c>
      <c r="J6" s="8" t="inlineStr">
        <is>
          <t>All body-part guides</t>
        </is>
      </c>
      <c r="K6" s="9" t="inlineStr">
        <is>
          <t>Written (Batch 1)</t>
        </is>
      </c>
      <c r="L6" s="8" t="n"/>
    </row>
    <row r="7" ht="23.85" customHeight="1" s="6">
      <c r="A7" s="8" t="n">
        <v>6</v>
      </c>
      <c r="B7" s="8" t="inlineStr">
        <is>
          <t>Muscle Building &amp; Hypertrophy</t>
        </is>
      </c>
      <c r="C7" s="8" t="inlineStr">
        <is>
          <t>4-Day Workout Split for Muscle Building</t>
        </is>
      </c>
      <c r="D7" s="8" t="inlineStr">
        <is>
          <t>4 day workout split</t>
        </is>
      </c>
      <c r="E7" s="8" t="inlineStr">
        <is>
          <t>12.1K</t>
        </is>
      </c>
      <c r="F7" s="8" t="inlineStr">
        <is>
          <t>Yes</t>
        </is>
      </c>
      <c r="G7" s="8" t="inlineStr">
        <is>
          <t>Med</t>
        </is>
      </c>
      <c r="H7" s="8" t="inlineStr">
        <is>
          <t>P1</t>
        </is>
      </c>
      <c r="I7" s="8" t="inlineStr">
        <is>
          <t>4-day-workout-split</t>
        </is>
      </c>
      <c r="J7" s="8" t="inlineStr">
        <is>
          <t>Reps &amp; Sets, Advanced Techniques</t>
        </is>
      </c>
      <c r="K7" s="9" t="inlineStr">
        <is>
          <t>Written (Batch 1)</t>
        </is>
      </c>
      <c r="L7" s="8" t="n"/>
    </row>
    <row r="8" ht="23.85" customHeight="1" s="6">
      <c r="A8" s="8" t="n">
        <v>7</v>
      </c>
      <c r="B8" s="8" t="inlineStr">
        <is>
          <t>Muscle Building &amp; Hypertrophy</t>
        </is>
      </c>
      <c r="C8" s="8" t="inlineStr">
        <is>
          <t>3-Day Full Body Workout (Intermediate)</t>
        </is>
      </c>
      <c r="D8" s="8" t="inlineStr">
        <is>
          <t>3 day full body workout</t>
        </is>
      </c>
      <c r="E8" s="8" t="inlineStr">
        <is>
          <t>1.9K</t>
        </is>
      </c>
      <c r="F8" s="8" t="inlineStr">
        <is>
          <t>Yes</t>
        </is>
      </c>
      <c r="G8" s="8" t="inlineStr">
        <is>
          <t>Low-Med</t>
        </is>
      </c>
      <c r="H8" s="8" t="inlineStr">
        <is>
          <t>P2</t>
        </is>
      </c>
      <c r="I8" s="8" t="inlineStr">
        <is>
          <t>3-day-full-body-workout</t>
        </is>
      </c>
      <c r="J8" s="8" t="inlineStr">
        <is>
          <t>Compound lift guides, Nutrition</t>
        </is>
      </c>
      <c r="K8" s="9" t="inlineStr">
        <is>
          <t>Written (Batch 1)</t>
        </is>
      </c>
      <c r="L8" s="8" t="n"/>
    </row>
    <row r="9" ht="23.85" customHeight="1" s="6">
      <c r="A9" s="8" t="n">
        <v>8</v>
      </c>
      <c r="B9" s="8" t="inlineStr">
        <is>
          <t>Muscle Building &amp; Hypertrophy</t>
        </is>
      </c>
      <c r="C9" s="8" t="inlineStr">
        <is>
          <t>Lean Bulk Workout Plan (12-Week)</t>
        </is>
      </c>
      <c r="D9" s="8" t="inlineStr">
        <is>
          <t>lean bulk workout plan</t>
        </is>
      </c>
      <c r="E9" s="8" t="inlineStr">
        <is>
          <t>2K+</t>
        </is>
      </c>
      <c r="F9" s="8" t="inlineStr">
        <is>
          <t>No (estimate)</t>
        </is>
      </c>
      <c r="G9" s="8" t="inlineStr">
        <is>
          <t>Low</t>
        </is>
      </c>
      <c r="H9" s="8" t="inlineStr">
        <is>
          <t>P2</t>
        </is>
      </c>
      <c r="I9" s="8" t="inlineStr">
        <is>
          <t>lean-bulk-workout-plan</t>
        </is>
      </c>
      <c r="J9" s="8" t="inlineStr">
        <is>
          <t>Nutrition guides, Reps &amp; Sets</t>
        </is>
      </c>
      <c r="K9" s="9" t="inlineStr">
        <is>
          <t>Written (Batch 1)</t>
        </is>
      </c>
      <c r="L9" s="8" t="inlineStr">
        <is>
          <t>Nutrition section: dietitian review (done in batch 1).</t>
        </is>
      </c>
    </row>
    <row r="10" ht="23.85" customHeight="1" s="6">
      <c r="A10" s="8" t="n">
        <v>9</v>
      </c>
      <c r="B10" s="8" t="inlineStr">
        <is>
          <t>Muscle Building &amp; Hypertrophy</t>
        </is>
      </c>
      <c r="C10" s="8" t="inlineStr">
        <is>
          <t>Hypertrophy Training Program (4-Day)</t>
        </is>
      </c>
      <c r="D10" s="8" t="inlineStr">
        <is>
          <t>hypertrophy program</t>
        </is>
      </c>
      <c r="E10" s="8" t="inlineStr">
        <is>
          <t>1K</t>
        </is>
      </c>
      <c r="F10" s="8" t="inlineStr">
        <is>
          <t>Yes</t>
        </is>
      </c>
      <c r="G10" s="8" t="inlineStr">
        <is>
          <t>Med</t>
        </is>
      </c>
      <c r="H10" s="8" t="inlineStr">
        <is>
          <t>P2</t>
        </is>
      </c>
      <c r="I10" s="8" t="inlineStr">
        <is>
          <t>hypertrophy-program</t>
        </is>
      </c>
      <c r="J10" s="8" t="inlineStr">
        <is>
          <t>Advanced Techniques, Reps guides</t>
        </is>
      </c>
      <c r="K10" s="9" t="inlineStr">
        <is>
          <t>Written (Batch 1)</t>
        </is>
      </c>
      <c r="L10" s="8" t="n"/>
    </row>
    <row r="11" ht="23.85" customHeight="1" s="6">
      <c r="A11" s="8" t="n">
        <v>10</v>
      </c>
      <c r="B11" s="8" t="inlineStr">
        <is>
          <t>Muscle Building &amp; Hypertrophy</t>
        </is>
      </c>
      <c r="C11" s="8" t="inlineStr">
        <is>
          <t>Workout Plan for Skinny Guys / Hardgainers</t>
        </is>
      </c>
      <c r="D11" s="8" t="inlineStr">
        <is>
          <t>workout plan for skinny guys</t>
        </is>
      </c>
      <c r="E11" s="8" t="inlineStr">
        <is>
          <t>2K+</t>
        </is>
      </c>
      <c r="F11" s="8" t="inlineStr">
        <is>
          <t>No (estimate)</t>
        </is>
      </c>
      <c r="G11" s="8" t="inlineStr">
        <is>
          <t>Low</t>
        </is>
      </c>
      <c r="H11" s="8" t="inlineStr">
        <is>
          <t>P3</t>
        </is>
      </c>
      <c r="I11" s="8" t="inlineStr">
        <is>
          <t>workout-plan-for-skinny-guys</t>
        </is>
      </c>
      <c r="J11" s="8" t="inlineStr">
        <is>
          <t>Nutrition guides, Compound lifts</t>
        </is>
      </c>
      <c r="K11" s="9" t="inlineStr">
        <is>
          <t>Written (Batch 1)</t>
        </is>
      </c>
      <c r="L11" s="8" t="inlineStr">
        <is>
          <t>Nutrition section: dietitian review (done in batch 1).</t>
        </is>
      </c>
    </row>
    <row r="12" ht="23.85" customHeight="1" s="6">
      <c r="A12" s="8" t="n">
        <v>11</v>
      </c>
      <c r="B12" s="8" t="inlineStr">
        <is>
          <t>Muscle Building &amp; Hypertrophy</t>
        </is>
      </c>
      <c r="C12" s="8" t="inlineStr">
        <is>
          <t>5-Day Workout Split (Gym)</t>
        </is>
      </c>
      <c r="D12" s="8" t="inlineStr">
        <is>
          <t>5 day workout split</t>
        </is>
      </c>
      <c r="E12" s="8" t="inlineStr">
        <is>
          <t>12.1K</t>
        </is>
      </c>
      <c r="F12" s="8" t="inlineStr">
        <is>
          <t>Yes</t>
        </is>
      </c>
      <c r="G12" s="8" t="inlineStr">
        <is>
          <t>Med</t>
        </is>
      </c>
      <c r="H12" s="8" t="inlineStr">
        <is>
          <t>P1</t>
        </is>
      </c>
      <c r="I12" s="8" t="inlineStr">
        <is>
          <t>5-day-workout-split</t>
        </is>
      </c>
      <c r="J12" s="8" t="inlineStr">
        <is>
          <t>All body-part guides</t>
        </is>
      </c>
      <c r="K12" s="9" t="inlineStr">
        <is>
          <t>Written (Batch 1)</t>
        </is>
      </c>
      <c r="L12" s="8" t="n"/>
    </row>
    <row r="13" ht="23.85" customHeight="1" s="6">
      <c r="A13" s="8" t="n">
        <v>12</v>
      </c>
      <c r="B13" s="8" t="inlineStr">
        <is>
          <t>Muscle Building &amp; Hypertrophy</t>
        </is>
      </c>
      <c r="C13" s="8" t="inlineStr">
        <is>
          <t>6-Day PPL Hypertrophy (Advanced)</t>
        </is>
      </c>
      <c r="D13" s="8" t="inlineStr">
        <is>
          <t>ppl hypertrophy program</t>
        </is>
      </c>
      <c r="E13" s="8" t="inlineStr">
        <is>
          <t>1.5K+</t>
        </is>
      </c>
      <c r="F13" s="8" t="inlineStr">
        <is>
          <t>No (estimate)</t>
        </is>
      </c>
      <c r="G13" s="8" t="inlineStr">
        <is>
          <t>Low</t>
        </is>
      </c>
      <c r="H13" s="8" t="inlineStr">
        <is>
          <t>P3</t>
        </is>
      </c>
      <c r="I13" s="8" t="inlineStr">
        <is>
          <t>ppl-hypertrophy-program</t>
        </is>
      </c>
      <c r="J13" s="8" t="inlineStr">
        <is>
          <t>Advanced Techniques, Reps guides</t>
        </is>
      </c>
      <c r="K13" s="9" t="inlineStr">
        <is>
          <t>Written (Batch 1)</t>
        </is>
      </c>
      <c r="L13" s="8" t="n"/>
    </row>
    <row r="14" ht="15" customHeight="1" s="6">
      <c r="A14" s="8" t="n">
        <v>13</v>
      </c>
      <c r="B14" s="8" t="inlineStr">
        <is>
          <t>Strength Training</t>
        </is>
      </c>
      <c r="C14" s="8" t="inlineStr">
        <is>
          <t>Beginner Strength Training Program (3-Day)</t>
        </is>
      </c>
      <c r="D14" s="8" t="inlineStr">
        <is>
          <t>beginner workout plan</t>
        </is>
      </c>
      <c r="E14" s="8" t="inlineStr">
        <is>
          <t>12.1K</t>
        </is>
      </c>
      <c r="F14" s="8" t="inlineStr">
        <is>
          <t>Yes</t>
        </is>
      </c>
      <c r="G14" s="8" t="inlineStr">
        <is>
          <t>Low</t>
        </is>
      </c>
      <c r="H14" s="8" t="inlineStr">
        <is>
          <t>P1</t>
        </is>
      </c>
      <c r="I14" s="8" t="inlineStr">
        <is>
          <t>beginner-strength-training-program</t>
        </is>
      </c>
      <c r="J14" s="8" t="inlineStr">
        <is>
          <t>Squat, Bench, Deadlift, How to Structure</t>
        </is>
      </c>
      <c r="K14" s="9" t="inlineStr">
        <is>
          <t>Written (Batch 1)</t>
        </is>
      </c>
      <c r="L14" s="8" t="n"/>
    </row>
    <row r="15" ht="23.85" customHeight="1" s="6">
      <c r="A15" s="8" t="n">
        <v>14</v>
      </c>
      <c r="B15" s="8" t="inlineStr">
        <is>
          <t>Strength Training</t>
        </is>
      </c>
      <c r="C15" s="8" t="inlineStr">
        <is>
          <t>Strength Training Plan for Women</t>
        </is>
      </c>
      <c r="D15" s="8" t="inlineStr">
        <is>
          <t>strength training for women</t>
        </is>
      </c>
      <c r="E15" s="8" t="inlineStr">
        <is>
          <t>12.1K</t>
        </is>
      </c>
      <c r="F15" s="8" t="inlineStr">
        <is>
          <t>Yes</t>
        </is>
      </c>
      <c r="G15" s="8" t="inlineStr">
        <is>
          <t>Low</t>
        </is>
      </c>
      <c r="H15" s="8" t="inlineStr">
        <is>
          <t>P1</t>
        </is>
      </c>
      <c r="I15" s="8" t="inlineStr">
        <is>
          <t>strength-training-for-women</t>
        </is>
      </c>
      <c r="J15" s="8" t="inlineStr">
        <is>
          <t>Squat, Deadlift, Equipment guides</t>
        </is>
      </c>
      <c r="K15" s="9" t="inlineStr">
        <is>
          <t>Written (Batch 1)</t>
        </is>
      </c>
      <c r="L15" s="8" t="inlineStr">
        <is>
          <t>Bone-health and pregnancy notes kept general with medical-advice disclaimer.</t>
        </is>
      </c>
    </row>
    <row r="16" ht="15" customHeight="1" s="6">
      <c r="A16" s="8" t="n">
        <v>15</v>
      </c>
      <c r="B16" s="8" t="inlineStr">
        <is>
          <t>Strength Training</t>
        </is>
      </c>
      <c r="C16" s="8" t="inlineStr">
        <is>
          <t>Powerlifting Program for Beginners</t>
        </is>
      </c>
      <c r="D16" s="8" t="inlineStr">
        <is>
          <t>powerlifting program for beginners</t>
        </is>
      </c>
      <c r="E16" s="8" t="inlineStr">
        <is>
          <t>2K+</t>
        </is>
      </c>
      <c r="F16" s="8" t="inlineStr">
        <is>
          <t>No (estimate)</t>
        </is>
      </c>
      <c r="G16" s="8" t="inlineStr">
        <is>
          <t>Low-Med</t>
        </is>
      </c>
      <c r="H16" s="8" t="inlineStr">
        <is>
          <t>P2</t>
        </is>
      </c>
      <c r="I16" s="8" t="inlineStr">
        <is>
          <t>powerlifting-program-for-beginners</t>
        </is>
      </c>
      <c r="J16" s="8" t="inlineStr">
        <is>
          <t>Squat, Bench, Deadlift (all 14 articles)</t>
        </is>
      </c>
      <c r="K16" s="9" t="inlineStr">
        <is>
          <t>Written (Batch 1)</t>
        </is>
      </c>
      <c r="L16" s="8" t="n"/>
    </row>
    <row r="17" ht="15" customHeight="1" s="6">
      <c r="A17" s="8" t="n">
        <v>16</v>
      </c>
      <c r="B17" s="8" t="inlineStr">
        <is>
          <t>Strength Training</t>
        </is>
      </c>
      <c r="C17" s="8" t="inlineStr">
        <is>
          <t>Weightlifting Workout Plan (4-Day)</t>
        </is>
      </c>
      <c r="D17" s="8" t="inlineStr">
        <is>
          <t>weightlifting workout plan</t>
        </is>
      </c>
      <c r="E17" s="8" t="inlineStr">
        <is>
          <t>1.6K</t>
        </is>
      </c>
      <c r="F17" s="8" t="inlineStr">
        <is>
          <t>No (estimate)</t>
        </is>
      </c>
      <c r="G17" s="8" t="inlineStr">
        <is>
          <t>Low</t>
        </is>
      </c>
      <c r="H17" s="8" t="inlineStr">
        <is>
          <t>P2</t>
        </is>
      </c>
      <c r="I17" s="8" t="inlineStr">
        <is>
          <t>weightlifting-workout-plan</t>
        </is>
      </c>
      <c r="J17" s="8" t="inlineStr">
        <is>
          <t>Compound lift guides, Reps &amp; Sets</t>
        </is>
      </c>
      <c r="K17" s="8" t="inlineStr">
        <is>
          <t>To write</t>
        </is>
      </c>
      <c r="L17" s="8" t="n"/>
    </row>
    <row r="18" ht="15" customHeight="1" s="6">
      <c r="A18" s="8" t="n">
        <v>17</v>
      </c>
      <c r="B18" s="8" t="inlineStr">
        <is>
          <t>Strength Training</t>
        </is>
      </c>
      <c r="C18" s="8" t="inlineStr">
        <is>
          <t>Strength and Conditioning Program</t>
        </is>
      </c>
      <c r="D18" s="8" t="inlineStr">
        <is>
          <t>strength and conditioning program</t>
        </is>
      </c>
      <c r="E18" s="8" t="inlineStr">
        <is>
          <t>2K+</t>
        </is>
      </c>
      <c r="F18" s="8" t="inlineStr">
        <is>
          <t>No (estimate)</t>
        </is>
      </c>
      <c r="G18" s="8" t="inlineStr">
        <is>
          <t>Med</t>
        </is>
      </c>
      <c r="H18" s="8" t="inlineStr">
        <is>
          <t>P3</t>
        </is>
      </c>
      <c r="I18" s="8" t="inlineStr">
        <is>
          <t>strength-and-conditioning-program</t>
        </is>
      </c>
      <c r="J18" s="8" t="inlineStr">
        <is>
          <t>Advanced Techniques, HIIT guide</t>
        </is>
      </c>
      <c r="K18" s="8" t="inlineStr">
        <is>
          <t>To write</t>
        </is>
      </c>
      <c r="L18" s="8" t="n"/>
    </row>
    <row r="19" ht="15" customHeight="1" s="6">
      <c r="A19" s="8" t="n">
        <v>18</v>
      </c>
      <c r="B19" s="8" t="inlineStr">
        <is>
          <t>Strength Training</t>
        </is>
      </c>
      <c r="C19" s="8" t="inlineStr">
        <is>
          <t>Barbell Only Workout Plan (3-Day)</t>
        </is>
      </c>
      <c r="D19" s="8" t="inlineStr">
        <is>
          <t>barbell workout plan</t>
        </is>
      </c>
      <c r="E19" s="8" t="inlineStr">
        <is>
          <t>1.5K+</t>
        </is>
      </c>
      <c r="F19" s="8" t="inlineStr">
        <is>
          <t>No (estimate)</t>
        </is>
      </c>
      <c r="G19" s="8" t="inlineStr">
        <is>
          <t>Low</t>
        </is>
      </c>
      <c r="H19" s="8" t="inlineStr">
        <is>
          <t>P3</t>
        </is>
      </c>
      <c r="I19" s="8" t="inlineStr">
        <is>
          <t>barbell-workout-plan</t>
        </is>
      </c>
      <c r="J19" s="8" t="inlineStr">
        <is>
          <t>Squat, Bench, Deadlift guides</t>
        </is>
      </c>
      <c r="K19" s="8" t="inlineStr">
        <is>
          <t>To write</t>
        </is>
      </c>
      <c r="L19" s="8" t="n"/>
    </row>
    <row r="20" ht="15" customHeight="1" s="6">
      <c r="A20" s="8" t="n">
        <v>20</v>
      </c>
      <c r="B20" s="8" t="inlineStr">
        <is>
          <t>Strength Training</t>
        </is>
      </c>
      <c r="C20" s="8" t="inlineStr">
        <is>
          <t>Strength Endurance Workout Plan (4-Day)</t>
        </is>
      </c>
      <c r="D20" s="8" t="inlineStr">
        <is>
          <t>strength endurance workout</t>
        </is>
      </c>
      <c r="E20" s="8" t="inlineStr">
        <is>
          <t>1K+</t>
        </is>
      </c>
      <c r="F20" s="8" t="inlineStr">
        <is>
          <t>No (estimate)</t>
        </is>
      </c>
      <c r="G20" s="8" t="inlineStr">
        <is>
          <t>Low</t>
        </is>
      </c>
      <c r="H20" s="8" t="inlineStr">
        <is>
          <t>P3</t>
        </is>
      </c>
      <c r="I20" s="8" t="inlineStr">
        <is>
          <t>strength-endurance-workout</t>
        </is>
      </c>
      <c r="J20" s="8" t="inlineStr">
        <is>
          <t>Advanced Techniques, Cardio</t>
        </is>
      </c>
      <c r="K20" s="8" t="inlineStr">
        <is>
          <t>To write</t>
        </is>
      </c>
      <c r="L20" s="8" t="n"/>
    </row>
    <row r="21" ht="15" customHeight="1" s="6">
      <c r="A21" s="8" t="n">
        <v>21</v>
      </c>
      <c r="B21" s="8" t="inlineStr">
        <is>
          <t>Strength Training</t>
        </is>
      </c>
      <c r="C21" s="8" t="inlineStr">
        <is>
          <t>Progressive Overload Workout Plan</t>
        </is>
      </c>
      <c r="D21" s="8" t="inlineStr">
        <is>
          <t>progressive overload workout</t>
        </is>
      </c>
      <c r="E21" s="8" t="inlineStr">
        <is>
          <t>1.9K</t>
        </is>
      </c>
      <c r="F21" s="8" t="inlineStr">
        <is>
          <t>Yes</t>
        </is>
      </c>
      <c r="G21" s="8" t="inlineStr">
        <is>
          <t>Low</t>
        </is>
      </c>
      <c r="H21" s="8" t="inlineStr">
        <is>
          <t>P2</t>
        </is>
      </c>
      <c r="I21" s="8" t="inlineStr">
        <is>
          <t>progressive-overload-workout</t>
        </is>
      </c>
      <c r="J21" s="8" t="inlineStr">
        <is>
          <t>Reps &amp; Sets guides (all 8)</t>
        </is>
      </c>
      <c r="K21" s="8" t="inlineStr">
        <is>
          <t>To write</t>
        </is>
      </c>
      <c r="L21" s="8" t="n"/>
    </row>
    <row r="22" ht="15" customHeight="1" s="6">
      <c r="A22" s="8" t="n">
        <v>22</v>
      </c>
      <c r="B22" s="8" t="inlineStr">
        <is>
          <t>Strength Training</t>
        </is>
      </c>
      <c r="C22" s="8" t="inlineStr">
        <is>
          <t>Compound Exercises Only Workout Plan</t>
        </is>
      </c>
      <c r="D22" s="8" t="inlineStr">
        <is>
          <t>compound exercise workout plan</t>
        </is>
      </c>
      <c r="E22" s="8" t="inlineStr">
        <is>
          <t>1.5K+</t>
        </is>
      </c>
      <c r="F22" s="8" t="inlineStr">
        <is>
          <t>No (estimate)</t>
        </is>
      </c>
      <c r="G22" s="8" t="inlineStr">
        <is>
          <t>Low</t>
        </is>
      </c>
      <c r="H22" s="8" t="inlineStr">
        <is>
          <t>P3</t>
        </is>
      </c>
      <c r="I22" s="8" t="inlineStr">
        <is>
          <t>compound-exercise-workout-plan</t>
        </is>
      </c>
      <c r="J22" s="8" t="inlineStr">
        <is>
          <t>Squat, Bench, Deadlift guides</t>
        </is>
      </c>
      <c r="K22" s="8" t="inlineStr">
        <is>
          <t>To write</t>
        </is>
      </c>
      <c r="L22" s="8" t="n"/>
    </row>
    <row r="23" ht="23.85" customHeight="1" s="6">
      <c r="A23" s="8" t="n">
        <v>27</v>
      </c>
      <c r="B23" s="8" t="inlineStr">
        <is>
          <t>Fat Loss &amp; Weight Loss</t>
        </is>
      </c>
      <c r="C23" s="8" t="inlineStr">
        <is>
          <t>Metabolic Conditioning Workout Plan</t>
        </is>
      </c>
      <c r="D23" s="8" t="inlineStr">
        <is>
          <t>metabolic conditioning workout</t>
        </is>
      </c>
      <c r="E23" s="8" t="inlineStr">
        <is>
          <t>1.5K+</t>
        </is>
      </c>
      <c r="F23" s="8" t="inlineStr">
        <is>
          <t>No (estimate)</t>
        </is>
      </c>
      <c r="G23" s="8" t="inlineStr">
        <is>
          <t>Low</t>
        </is>
      </c>
      <c r="H23" s="8" t="inlineStr">
        <is>
          <t>P3</t>
        </is>
      </c>
      <c r="I23" s="8" t="inlineStr">
        <is>
          <t>metabolic-conditioning-workout</t>
        </is>
      </c>
      <c r="J23" s="8" t="inlineStr">
        <is>
          <t>HIIT guide, Advanced Techniques</t>
        </is>
      </c>
      <c r="K23" s="8" t="inlineStr">
        <is>
          <t>To write</t>
        </is>
      </c>
      <c r="L23" s="8" t="inlineStr">
        <is>
          <t>Keep the angle on fitness and conditioning, not weight-loss promises.</t>
        </is>
      </c>
    </row>
    <row r="24" ht="15" customHeight="1" s="6">
      <c r="A24" s="8" t="n">
        <v>31</v>
      </c>
      <c r="B24" s="8" t="inlineStr">
        <is>
          <t>Fat Loss &amp; Weight Loss</t>
        </is>
      </c>
      <c r="C24" s="8" t="inlineStr">
        <is>
          <t>Cardio and Strength Combo Plan (3-Day)</t>
        </is>
      </c>
      <c r="D24" s="8" t="inlineStr">
        <is>
          <t>cardio and strength workout plan</t>
        </is>
      </c>
      <c r="E24" s="8" t="inlineStr">
        <is>
          <t>1.5K+</t>
        </is>
      </c>
      <c r="F24" s="8" t="inlineStr">
        <is>
          <t>No (estimate)</t>
        </is>
      </c>
      <c r="G24" s="8" t="inlineStr">
        <is>
          <t>Low</t>
        </is>
      </c>
      <c r="H24" s="8" t="inlineStr">
        <is>
          <t>P3</t>
        </is>
      </c>
      <c r="I24" s="8" t="inlineStr">
        <is>
          <t>cardio-and-strength-workout-plan</t>
        </is>
      </c>
      <c r="J24" s="8" t="inlineStr">
        <is>
          <t>HIIT guide, Compound lifts</t>
        </is>
      </c>
      <c r="K24" s="8" t="inlineStr">
        <is>
          <t>To write</t>
        </is>
      </c>
      <c r="L24" s="8" t="inlineStr">
        <is>
          <t>Keep the angle on fitness; no weight-loss timelines.</t>
        </is>
      </c>
    </row>
    <row r="25" ht="15" customHeight="1" s="6">
      <c r="A25" s="8" t="n">
        <v>33</v>
      </c>
      <c r="B25" s="8" t="inlineStr">
        <is>
          <t>Home Workouts</t>
        </is>
      </c>
      <c r="C25" s="8" t="inlineStr">
        <is>
          <t>Dumbbell Only Workout Plan (4-Day)</t>
        </is>
      </c>
      <c r="D25" s="8" t="inlineStr">
        <is>
          <t>dumbbell workout plan</t>
        </is>
      </c>
      <c r="E25" s="8" t="inlineStr">
        <is>
          <t>9.9K</t>
        </is>
      </c>
      <c r="F25" s="8" t="inlineStr">
        <is>
          <t>Yes</t>
        </is>
      </c>
      <c r="G25" s="8" t="inlineStr">
        <is>
          <t>Low</t>
        </is>
      </c>
      <c r="H25" s="8" t="inlineStr">
        <is>
          <t>P1</t>
        </is>
      </c>
      <c r="I25" s="8" t="inlineStr">
        <is>
          <t>dumbbell-workout-plan</t>
        </is>
      </c>
      <c r="J25" s="8" t="inlineStr">
        <is>
          <t>Existing home articles, Equipment</t>
        </is>
      </c>
      <c r="K25" s="8" t="inlineStr">
        <is>
          <t>To write</t>
        </is>
      </c>
      <c r="L25" s="8" t="n"/>
    </row>
    <row r="26" ht="15" customHeight="1" s="6">
      <c r="A26" s="8" t="n">
        <v>34</v>
      </c>
      <c r="B26" s="8" t="inlineStr">
        <is>
          <t>Home Workouts</t>
        </is>
      </c>
      <c r="C26" s="8" t="inlineStr">
        <is>
          <t>Bodyweight Workout Plan (No Equipment)</t>
        </is>
      </c>
      <c r="D26" s="8" t="inlineStr">
        <is>
          <t>bodyweight workout</t>
        </is>
      </c>
      <c r="E26" s="8" t="inlineStr">
        <is>
          <t>22.2K</t>
        </is>
      </c>
      <c r="F26" s="8" t="inlineStr">
        <is>
          <t>Yes</t>
        </is>
      </c>
      <c r="G26" s="8" t="inlineStr">
        <is>
          <t>Low</t>
        </is>
      </c>
      <c r="H26" s="8" t="inlineStr">
        <is>
          <t>P1</t>
        </is>
      </c>
      <c r="I26" s="8" t="inlineStr">
        <is>
          <t>bodyweight-workout</t>
        </is>
      </c>
      <c r="J26" s="8" t="inlineStr">
        <is>
          <t>Medicine Ball, 30-min guide</t>
        </is>
      </c>
      <c r="K26" s="8" t="inlineStr">
        <is>
          <t>To write</t>
        </is>
      </c>
      <c r="L26" s="8" t="n"/>
    </row>
    <row r="27" ht="15" customHeight="1" s="6">
      <c r="A27" s="8" t="n">
        <v>35</v>
      </c>
      <c r="B27" s="8" t="inlineStr">
        <is>
          <t>Home Workouts</t>
        </is>
      </c>
      <c r="C27" s="8" t="inlineStr">
        <is>
          <t>Resistance Band Workout Plan (Full Body)</t>
        </is>
      </c>
      <c r="D27" s="8" t="inlineStr">
        <is>
          <t>resistance band workout</t>
        </is>
      </c>
      <c r="E27" s="8" t="inlineStr">
        <is>
          <t>27.1K</t>
        </is>
      </c>
      <c r="F27" s="8" t="inlineStr">
        <is>
          <t>Yes</t>
        </is>
      </c>
      <c r="G27" s="8" t="inlineStr">
        <is>
          <t>Low</t>
        </is>
      </c>
      <c r="H27" s="8" t="inlineStr">
        <is>
          <t>P1</t>
        </is>
      </c>
      <c r="I27" s="8" t="inlineStr">
        <is>
          <t>resistance-band-workout</t>
        </is>
      </c>
      <c r="J27" s="8" t="inlineStr">
        <is>
          <t>Equipment guides, Reps &amp; Sets</t>
        </is>
      </c>
      <c r="K27" s="8" t="inlineStr">
        <is>
          <t>Written (Batch 3)</t>
        </is>
      </c>
      <c r="L27" s="8" t="n"/>
    </row>
    <row r="28" ht="23.85" customHeight="1" s="6">
      <c r="A28" s="8" t="n">
        <v>36</v>
      </c>
      <c r="B28" s="8" t="inlineStr">
        <is>
          <t>Home Workouts</t>
        </is>
      </c>
      <c r="C28" s="8" t="inlineStr">
        <is>
          <t>Kettlebell Workout Plan (3-Day)</t>
        </is>
      </c>
      <c r="D28" s="8" t="inlineStr">
        <is>
          <t>kettlebell workout</t>
        </is>
      </c>
      <c r="E28" s="8" t="inlineStr">
        <is>
          <t>12.1K</t>
        </is>
      </c>
      <c r="F28" s="8" t="inlineStr">
        <is>
          <t>Yes</t>
        </is>
      </c>
      <c r="G28" s="8" t="inlineStr">
        <is>
          <t>Low</t>
        </is>
      </c>
      <c r="H28" s="8" t="inlineStr">
        <is>
          <t>P1</t>
        </is>
      </c>
      <c r="I28" s="8" t="inlineStr">
        <is>
          <t>kettlebell-workout</t>
        </is>
      </c>
      <c r="J28" s="8" t="inlineStr">
        <is>
          <t>Deadlift guides, Equipment</t>
        </is>
      </c>
      <c r="K28" s="8" t="inlineStr">
        <is>
          <t>To write</t>
        </is>
      </c>
      <c r="L28" s="8" t="inlineStr">
        <is>
          <t>Teach kettlebell swing technique before load; injury risk if hinge is poor.</t>
        </is>
      </c>
    </row>
    <row r="29" ht="15" customHeight="1" s="6">
      <c r="A29" s="8" t="n">
        <v>37</v>
      </c>
      <c r="B29" s="8" t="inlineStr">
        <is>
          <t>Home Workouts</t>
        </is>
      </c>
      <c r="C29" s="8" t="inlineStr">
        <is>
          <t>Home Gym Workout Plan (Bench + Dumbbells)</t>
        </is>
      </c>
      <c r="D29" s="8" t="inlineStr">
        <is>
          <t>home gym workout plan</t>
        </is>
      </c>
      <c r="E29" s="8" t="inlineStr">
        <is>
          <t>1.6K</t>
        </is>
      </c>
      <c r="F29" s="8" t="inlineStr">
        <is>
          <t>Yes</t>
        </is>
      </c>
      <c r="G29" s="8" t="inlineStr">
        <is>
          <t>Low</t>
        </is>
      </c>
      <c r="H29" s="8" t="inlineStr">
        <is>
          <t>P2</t>
        </is>
      </c>
      <c r="I29" s="8" t="inlineStr">
        <is>
          <t>home-gym-workout-plan</t>
        </is>
      </c>
      <c r="J29" s="8" t="inlineStr">
        <is>
          <t>Bench Press, Equipment guides</t>
        </is>
      </c>
      <c r="K29" s="8" t="inlineStr">
        <is>
          <t>To write</t>
        </is>
      </c>
      <c r="L29" s="8" t="n"/>
    </row>
    <row r="30" ht="15" customHeight="1" s="6">
      <c r="A30" s="8" t="n">
        <v>38</v>
      </c>
      <c r="B30" s="8" t="inlineStr">
        <is>
          <t>Home Workouts</t>
        </is>
      </c>
      <c r="C30" s="8" t="inlineStr">
        <is>
          <t>Apartment Friendly Workout (No Noise)</t>
        </is>
      </c>
      <c r="D30" s="8" t="inlineStr">
        <is>
          <t>apartment workout no noise</t>
        </is>
      </c>
      <c r="E30" s="8" t="inlineStr">
        <is>
          <t>1K+</t>
        </is>
      </c>
      <c r="F30" s="8" t="inlineStr">
        <is>
          <t>No (estimate)</t>
        </is>
      </c>
      <c r="G30" s="8" t="inlineStr">
        <is>
          <t>Low</t>
        </is>
      </c>
      <c r="H30" s="8" t="inlineStr">
        <is>
          <t>P3</t>
        </is>
      </c>
      <c r="I30" s="8" t="inlineStr">
        <is>
          <t>apartment-workout-no-noise</t>
        </is>
      </c>
      <c r="J30" s="8" t="inlineStr">
        <is>
          <t>Bodyweight exercises, 30-min guide</t>
        </is>
      </c>
      <c r="K30" s="8" t="inlineStr">
        <is>
          <t>To write</t>
        </is>
      </c>
      <c r="L30" s="8" t="n"/>
    </row>
    <row r="31" ht="23.85" customHeight="1" s="6">
      <c r="A31" s="8" t="n">
        <v>39</v>
      </c>
      <c r="B31" s="8" t="inlineStr">
        <is>
          <t>Home Workouts</t>
        </is>
      </c>
      <c r="C31" s="8" t="inlineStr">
        <is>
          <t>Morning Workout Routine at Home (20 Min)</t>
        </is>
      </c>
      <c r="D31" s="8" t="inlineStr">
        <is>
          <t>morning workout routine at home</t>
        </is>
      </c>
      <c r="E31" s="8" t="inlineStr">
        <is>
          <t>3K+</t>
        </is>
      </c>
      <c r="F31" s="8" t="inlineStr">
        <is>
          <t>No (estimate)</t>
        </is>
      </c>
      <c r="G31" s="8" t="inlineStr">
        <is>
          <t>Low</t>
        </is>
      </c>
      <c r="H31" s="8" t="inlineStr">
        <is>
          <t>P2</t>
        </is>
      </c>
      <c r="I31" s="8" t="inlineStr">
        <is>
          <t>morning-workout-routine-at-home</t>
        </is>
      </c>
      <c r="J31" s="8" t="inlineStr">
        <is>
          <t>30-min guide, Nutrition guides</t>
        </is>
      </c>
      <c r="K31" s="8" t="inlineStr">
        <is>
          <t>To write</t>
        </is>
      </c>
      <c r="L31" s="8" t="inlineStr">
        <is>
          <t>If nutrition is mentioned, keep it general and dietitian-reviewed.</t>
        </is>
      </c>
    </row>
    <row r="32" ht="15" customHeight="1" s="6">
      <c r="A32" s="8" t="n">
        <v>40</v>
      </c>
      <c r="B32" s="8" t="inlineStr">
        <is>
          <t>Home Workouts</t>
        </is>
      </c>
      <c r="C32" s="8" t="inlineStr">
        <is>
          <t>Home Workout Plan for Beginners</t>
        </is>
      </c>
      <c r="D32" s="8" t="inlineStr">
        <is>
          <t>home workout plan for beginners</t>
        </is>
      </c>
      <c r="E32" s="8" t="inlineStr">
        <is>
          <t>2K+</t>
        </is>
      </c>
      <c r="F32" s="8" t="inlineStr">
        <is>
          <t>No (estimate)</t>
        </is>
      </c>
      <c r="G32" s="8" t="inlineStr">
        <is>
          <t>Low</t>
        </is>
      </c>
      <c r="H32" s="8" t="inlineStr">
        <is>
          <t>P2</t>
        </is>
      </c>
      <c r="I32" s="8" t="inlineStr">
        <is>
          <t>home-workout-plan-for-beginners</t>
        </is>
      </c>
      <c r="J32" s="8" t="inlineStr">
        <is>
          <t>How to Structure, Reps guides</t>
        </is>
      </c>
      <c r="K32" s="8" t="inlineStr">
        <is>
          <t>To write</t>
        </is>
      </c>
      <c r="L32" s="8" t="n"/>
    </row>
    <row r="33" ht="15" customHeight="1" s="6">
      <c r="A33" s="8" t="n">
        <v>41</v>
      </c>
      <c r="B33" s="8" t="inlineStr">
        <is>
          <t>Home Workouts</t>
        </is>
      </c>
      <c r="C33" s="8" t="inlineStr">
        <is>
          <t>Pull Up Bar Workout Plan (Home)</t>
        </is>
      </c>
      <c r="D33" s="8" t="inlineStr">
        <is>
          <t>pull up bar workout plan</t>
        </is>
      </c>
      <c r="E33" s="8" t="inlineStr">
        <is>
          <t>1.5K+</t>
        </is>
      </c>
      <c r="F33" s="8" t="inlineStr">
        <is>
          <t>No (estimate)</t>
        </is>
      </c>
      <c r="G33" s="8" t="inlineStr">
        <is>
          <t>Low</t>
        </is>
      </c>
      <c r="H33" s="8" t="inlineStr">
        <is>
          <t>P3</t>
        </is>
      </c>
      <c r="I33" s="8" t="inlineStr">
        <is>
          <t>pull-up-bar-workout-plan</t>
        </is>
      </c>
      <c r="J33" s="8" t="inlineStr">
        <is>
          <t>Back guides, Equipment</t>
        </is>
      </c>
      <c r="K33" s="8" t="inlineStr">
        <is>
          <t>To write</t>
        </is>
      </c>
      <c r="L33" s="8" t="n"/>
    </row>
    <row r="34" ht="15" customHeight="1" s="6">
      <c r="A34" s="8" t="n">
        <v>42</v>
      </c>
      <c r="B34" s="8" t="inlineStr">
        <is>
          <t>Home Workouts</t>
        </is>
      </c>
      <c r="C34" s="8" t="inlineStr">
        <is>
          <t>Medicine Ball Workout Plan at Home (Full Body)</t>
        </is>
      </c>
      <c r="D34" s="8" t="inlineStr">
        <is>
          <t>medicine ball workout plan</t>
        </is>
      </c>
      <c r="E34" s="8" t="inlineStr">
        <is>
          <t>2K+</t>
        </is>
      </c>
      <c r="F34" s="8" t="inlineStr">
        <is>
          <t>No (estimate)</t>
        </is>
      </c>
      <c r="G34" s="8" t="inlineStr">
        <is>
          <t>Low</t>
        </is>
      </c>
      <c r="H34" s="8" t="inlineStr">
        <is>
          <t>P2</t>
        </is>
      </c>
      <c r="I34" s="8" t="inlineStr">
        <is>
          <t>medicine-ball-workout-plan</t>
        </is>
      </c>
      <c r="J34" s="8" t="inlineStr">
        <is>
          <t>Medicine Ball articles (all 9), Core plan</t>
        </is>
      </c>
      <c r="K34" s="8" t="inlineStr">
        <is>
          <t>To write</t>
        </is>
      </c>
      <c r="L34" s="8" t="n"/>
    </row>
    <row r="35" ht="23.85" customHeight="1" s="6">
      <c r="A35" s="8" t="n">
        <v>43</v>
      </c>
      <c r="B35" s="8" t="inlineStr">
        <is>
          <t>HIIT &amp; Cardio</t>
        </is>
      </c>
      <c r="C35" s="8" t="inlineStr">
        <is>
          <t>Beginner HIIT Workout Plan (4-Week)</t>
        </is>
      </c>
      <c r="D35" s="8" t="inlineStr">
        <is>
          <t>beginner hiit workout plan</t>
        </is>
      </c>
      <c r="E35" s="8" t="inlineStr">
        <is>
          <t>2K+</t>
        </is>
      </c>
      <c r="F35" s="8" t="inlineStr">
        <is>
          <t>No (estimate)</t>
        </is>
      </c>
      <c r="G35" s="8" t="inlineStr">
        <is>
          <t>Low</t>
        </is>
      </c>
      <c r="H35" s="8" t="inlineStr">
        <is>
          <t>P1</t>
        </is>
      </c>
      <c r="I35" s="8" t="inlineStr">
        <is>
          <t>beginner-hiit-workout-plan</t>
        </is>
      </c>
      <c r="J35" s="8" t="inlineStr">
        <is>
          <t>HIIT guide, 30-min guide, Nutrition</t>
        </is>
      </c>
      <c r="K35" s="8" t="inlineStr">
        <is>
          <t>To write</t>
        </is>
      </c>
      <c r="L35" s="8" t="inlineStr">
        <is>
          <t>Add a short 'check with your doctor if you have a heart condition' note.</t>
        </is>
      </c>
    </row>
    <row r="36" ht="23.85" customHeight="1" s="6">
      <c r="A36" s="8" t="n">
        <v>44</v>
      </c>
      <c r="B36" s="8" t="inlineStr">
        <is>
          <t>HIIT &amp; Cardio</t>
        </is>
      </c>
      <c r="C36" s="8" t="inlineStr">
        <is>
          <t>Tabata Workout Plan (4-Week)</t>
        </is>
      </c>
      <c r="D36" s="8" t="inlineStr">
        <is>
          <t>tabata workout plan</t>
        </is>
      </c>
      <c r="E36" s="8" t="inlineStr">
        <is>
          <t>3K+</t>
        </is>
      </c>
      <c r="F36" s="8" t="inlineStr">
        <is>
          <t>No (estimate)</t>
        </is>
      </c>
      <c r="G36" s="8" t="inlineStr">
        <is>
          <t>Low</t>
        </is>
      </c>
      <c r="H36" s="8" t="inlineStr">
        <is>
          <t>P2</t>
        </is>
      </c>
      <c r="I36" s="8" t="inlineStr">
        <is>
          <t>tabata-workout-plan</t>
        </is>
      </c>
      <c r="J36" s="8" t="inlineStr">
        <is>
          <t>HIIT guide, Advanced Techniques</t>
        </is>
      </c>
      <c r="K36" s="8" t="inlineStr">
        <is>
          <t>To write</t>
        </is>
      </c>
      <c r="L36" s="8" t="inlineStr">
        <is>
          <t>All-out intervals: add medical-clearance note for untrained readers.</t>
        </is>
      </c>
    </row>
    <row r="37" ht="15" customHeight="1" s="6">
      <c r="A37" s="8" t="n">
        <v>45</v>
      </c>
      <c r="B37" s="8" t="inlineStr">
        <is>
          <t>HIIT &amp; Cardio</t>
        </is>
      </c>
      <c r="C37" s="8" t="inlineStr">
        <is>
          <t>EMOM Workout Plan (3-Day)</t>
        </is>
      </c>
      <c r="D37" s="8" t="inlineStr">
        <is>
          <t>emom workout plan</t>
        </is>
      </c>
      <c r="E37" s="8" t="inlineStr">
        <is>
          <t>1.5K+</t>
        </is>
      </c>
      <c r="F37" s="8" t="inlineStr">
        <is>
          <t>No (estimate)</t>
        </is>
      </c>
      <c r="G37" s="8" t="inlineStr">
        <is>
          <t>Low</t>
        </is>
      </c>
      <c r="H37" s="8" t="inlineStr">
        <is>
          <t>P3</t>
        </is>
      </c>
      <c r="I37" s="8" t="inlineStr">
        <is>
          <t>emom-workout-plan</t>
        </is>
      </c>
      <c r="J37" s="8" t="inlineStr">
        <is>
          <t>HIIT guide, Compound lifts</t>
        </is>
      </c>
      <c r="K37" s="8" t="inlineStr">
        <is>
          <t>To write</t>
        </is>
      </c>
      <c r="L37" s="8" t="n"/>
    </row>
    <row r="38" ht="15" customHeight="1" s="6">
      <c r="A38" s="8" t="n">
        <v>46</v>
      </c>
      <c r="B38" s="8" t="inlineStr">
        <is>
          <t>HIIT &amp; Cardio</t>
        </is>
      </c>
      <c r="C38" s="8" t="inlineStr">
        <is>
          <t>AMRAP Workout Plan for Beginners</t>
        </is>
      </c>
      <c r="D38" s="8" t="inlineStr">
        <is>
          <t>amrap workout plan</t>
        </is>
      </c>
      <c r="E38" s="8" t="inlineStr">
        <is>
          <t>1.5K+</t>
        </is>
      </c>
      <c r="F38" s="8" t="inlineStr">
        <is>
          <t>No (estimate)</t>
        </is>
      </c>
      <c r="G38" s="8" t="inlineStr">
        <is>
          <t>Low</t>
        </is>
      </c>
      <c r="H38" s="8" t="inlineStr">
        <is>
          <t>P3</t>
        </is>
      </c>
      <c r="I38" s="8" t="inlineStr">
        <is>
          <t>amrap-workout-plan</t>
        </is>
      </c>
      <c r="J38" s="8" t="inlineStr">
        <is>
          <t>HIIT guide, Bodyweight exercises</t>
        </is>
      </c>
      <c r="K38" s="8" t="inlineStr">
        <is>
          <t>To write</t>
        </is>
      </c>
      <c r="L38" s="8" t="n"/>
    </row>
    <row r="39" ht="23.85" customHeight="1" s="6">
      <c r="A39" s="8" t="n">
        <v>47</v>
      </c>
      <c r="B39" s="8" t="inlineStr">
        <is>
          <t>HIIT &amp; Cardio</t>
        </is>
      </c>
      <c r="C39" s="8" t="inlineStr">
        <is>
          <t>Advanced HIIT Workout Plan (6-Week)</t>
        </is>
      </c>
      <c r="D39" s="8" t="inlineStr">
        <is>
          <t>advanced hiit workout plan</t>
        </is>
      </c>
      <c r="E39" s="8" t="inlineStr">
        <is>
          <t>1.5K+</t>
        </is>
      </c>
      <c r="F39" s="8" t="inlineStr">
        <is>
          <t>No (estimate)</t>
        </is>
      </c>
      <c r="G39" s="8" t="inlineStr">
        <is>
          <t>Low-Med</t>
        </is>
      </c>
      <c r="H39" s="8" t="inlineStr">
        <is>
          <t>P3</t>
        </is>
      </c>
      <c r="I39" s="8" t="inlineStr">
        <is>
          <t>advanced-hiit-workout-plan</t>
        </is>
      </c>
      <c r="J39" s="8" t="inlineStr">
        <is>
          <t>HIIT guide, Advanced Techniques</t>
        </is>
      </c>
      <c r="K39" s="8" t="inlineStr">
        <is>
          <t>To write</t>
        </is>
      </c>
      <c r="L39" s="8" t="inlineStr">
        <is>
          <t>All-out intervals: add medical-clearance note; advanced readers only.</t>
        </is>
      </c>
    </row>
    <row r="40" ht="15" customHeight="1" s="6">
      <c r="A40" s="8" t="n">
        <v>48</v>
      </c>
      <c r="B40" s="8" t="inlineStr">
        <is>
          <t>HIIT &amp; Cardio</t>
        </is>
      </c>
      <c r="C40" s="8" t="inlineStr">
        <is>
          <t>Cardio Workout Plan for Beginners</t>
        </is>
      </c>
      <c r="D40" s="8" t="inlineStr">
        <is>
          <t>cardio workout plan for beginners</t>
        </is>
      </c>
      <c r="E40" s="8" t="inlineStr">
        <is>
          <t>2K+</t>
        </is>
      </c>
      <c r="F40" s="8" t="inlineStr">
        <is>
          <t>No (estimate)</t>
        </is>
      </c>
      <c r="G40" s="8" t="inlineStr">
        <is>
          <t>Low</t>
        </is>
      </c>
      <c r="H40" s="8" t="inlineStr">
        <is>
          <t>P2</t>
        </is>
      </c>
      <c r="I40" s="8" t="inlineStr">
        <is>
          <t>cardio-workout-plan-for-beginners</t>
        </is>
      </c>
      <c r="J40" s="8" t="inlineStr">
        <is>
          <t>Health &amp; Wellness, How to Structure</t>
        </is>
      </c>
      <c r="K40" s="8" t="inlineStr">
        <is>
          <t>To write</t>
        </is>
      </c>
      <c r="L40" s="8" t="n"/>
    </row>
    <row r="41" ht="15" customHeight="1" s="6">
      <c r="A41" s="8" t="n">
        <v>49</v>
      </c>
      <c r="B41" s="8" t="inlineStr">
        <is>
          <t>HIIT &amp; Cardio</t>
        </is>
      </c>
      <c r="C41" s="8" t="inlineStr">
        <is>
          <t>Low Impact HIIT Plan (No Jumping)</t>
        </is>
      </c>
      <c r="D41" s="8" t="inlineStr">
        <is>
          <t>low impact hiit workout plan</t>
        </is>
      </c>
      <c r="E41" s="8" t="inlineStr">
        <is>
          <t>1.5K+</t>
        </is>
      </c>
      <c r="F41" s="8" t="inlineStr">
        <is>
          <t>No (estimate)</t>
        </is>
      </c>
      <c r="G41" s="8" t="inlineStr">
        <is>
          <t>Low</t>
        </is>
      </c>
      <c r="H41" s="8" t="inlineStr">
        <is>
          <t>P2</t>
        </is>
      </c>
      <c r="I41" s="8" t="inlineStr">
        <is>
          <t>low-impact-hiit-workout-plan</t>
        </is>
      </c>
      <c r="J41" s="8" t="inlineStr">
        <is>
          <t>Health &amp; Wellness, Beginner guides</t>
        </is>
      </c>
      <c r="K41" s="8" t="inlineStr">
        <is>
          <t>To write</t>
        </is>
      </c>
      <c r="L41" s="8" t="n"/>
    </row>
    <row r="42" ht="15" customHeight="1" s="6">
      <c r="A42" s="8" t="n">
        <v>50</v>
      </c>
      <c r="B42" s="8" t="inlineStr">
        <is>
          <t>HIIT &amp; Cardio</t>
        </is>
      </c>
      <c r="C42" s="8" t="inlineStr">
        <is>
          <t>Cardio Endurance Training Plan (8-Week)</t>
        </is>
      </c>
      <c r="D42" s="8" t="inlineStr">
        <is>
          <t>cardio endurance workout plan</t>
        </is>
      </c>
      <c r="E42" s="8" t="inlineStr">
        <is>
          <t>1K+</t>
        </is>
      </c>
      <c r="F42" s="8" t="inlineStr">
        <is>
          <t>No (estimate)</t>
        </is>
      </c>
      <c r="G42" s="8" t="inlineStr">
        <is>
          <t>Low</t>
        </is>
      </c>
      <c r="H42" s="8" t="inlineStr">
        <is>
          <t>P3</t>
        </is>
      </c>
      <c r="I42" s="8" t="inlineStr">
        <is>
          <t>cardio-endurance-workout-plan</t>
        </is>
      </c>
      <c r="J42" s="8" t="inlineStr">
        <is>
          <t>HIIT guide, Nutrition guides</t>
        </is>
      </c>
      <c r="K42" s="8" t="inlineStr">
        <is>
          <t>To write</t>
        </is>
      </c>
      <c r="L42" s="8" t="n"/>
    </row>
    <row r="43" ht="23.85" customHeight="1" s="6">
      <c r="A43" s="8" t="n">
        <v>51</v>
      </c>
      <c r="B43" s="8" t="inlineStr">
        <is>
          <t>HIIT &amp; Cardio</t>
        </is>
      </c>
      <c r="C43" s="8" t="inlineStr">
        <is>
          <t>Sprint Interval Training Plan</t>
        </is>
      </c>
      <c r="D43" s="8" t="inlineStr">
        <is>
          <t>sprint interval training plan</t>
        </is>
      </c>
      <c r="E43" s="8" t="inlineStr">
        <is>
          <t>1K+</t>
        </is>
      </c>
      <c r="F43" s="8" t="inlineStr">
        <is>
          <t>No (estimate)</t>
        </is>
      </c>
      <c r="G43" s="8" t="inlineStr">
        <is>
          <t>Low</t>
        </is>
      </c>
      <c r="H43" s="8" t="inlineStr">
        <is>
          <t>P3</t>
        </is>
      </c>
      <c r="I43" s="8" t="inlineStr">
        <is>
          <t>sprint-interval-training-plan</t>
        </is>
      </c>
      <c r="J43" s="8" t="inlineStr">
        <is>
          <t>HIIT guide, Advanced Techniques</t>
        </is>
      </c>
      <c r="K43" s="8" t="inlineStr">
        <is>
          <t>To write</t>
        </is>
      </c>
      <c r="L43" s="8" t="inlineStr">
        <is>
          <t>Maximal sprints: warm-up and medical-clearance note; hamstring injury risk.</t>
        </is>
      </c>
    </row>
    <row r="44" ht="15" customHeight="1" s="6">
      <c r="A44" s="8" t="n">
        <v>52</v>
      </c>
      <c r="B44" s="8" t="inlineStr">
        <is>
          <t>HIIT &amp; Cardio</t>
        </is>
      </c>
      <c r="C44" s="8" t="inlineStr">
        <is>
          <t>Circuit Training Workout Plan (3-Day)</t>
        </is>
      </c>
      <c r="D44" s="8" t="inlineStr">
        <is>
          <t>circuit training</t>
        </is>
      </c>
      <c r="E44" s="8" t="inlineStr">
        <is>
          <t>14.8K</t>
        </is>
      </c>
      <c r="F44" s="8" t="inlineStr">
        <is>
          <t>Yes</t>
        </is>
      </c>
      <c r="G44" s="8" t="inlineStr">
        <is>
          <t>Low</t>
        </is>
      </c>
      <c r="H44" s="8" t="inlineStr">
        <is>
          <t>P1</t>
        </is>
      </c>
      <c r="I44" s="8" t="inlineStr">
        <is>
          <t>circuit-training</t>
        </is>
      </c>
      <c r="J44" s="8" t="inlineStr">
        <is>
          <t>Equipment, Medicine Ball, HIIT</t>
        </is>
      </c>
      <c r="K44" s="8" t="inlineStr">
        <is>
          <t>To write</t>
        </is>
      </c>
      <c r="L44" s="8" t="n"/>
    </row>
    <row r="45" ht="15" customHeight="1" s="6">
      <c r="A45" s="8" t="n">
        <v>53</v>
      </c>
      <c r="B45" s="8" t="inlineStr">
        <is>
          <t>Legs &amp; Glutes</t>
        </is>
      </c>
      <c r="C45" s="8" t="inlineStr">
        <is>
          <t>Glute Workout Plan (Gym, 4-Week)</t>
        </is>
      </c>
      <c r="D45" s="8" t="inlineStr">
        <is>
          <t>glute workout</t>
        </is>
      </c>
      <c r="E45" s="8" t="inlineStr">
        <is>
          <t>40.5K</t>
        </is>
      </c>
      <c r="F45" s="8" t="inlineStr">
        <is>
          <t>Yes</t>
        </is>
      </c>
      <c r="G45" s="8" t="inlineStr">
        <is>
          <t>Low</t>
        </is>
      </c>
      <c r="H45" s="8" t="inlineStr">
        <is>
          <t>P1</t>
        </is>
      </c>
      <c r="I45" s="8" t="inlineStr">
        <is>
          <t>glute-workout</t>
        </is>
      </c>
      <c r="J45" s="8" t="inlineStr">
        <is>
          <t>Squat guides, Cable guides, Deadlift</t>
        </is>
      </c>
      <c r="K45" s="8" t="inlineStr">
        <is>
          <t>Written (Batch 2)</t>
        </is>
      </c>
      <c r="L45" s="8" t="n"/>
    </row>
    <row r="46" ht="15" customHeight="1" s="6">
      <c r="A46" s="8" t="n">
        <v>54</v>
      </c>
      <c r="B46" s="8" t="inlineStr">
        <is>
          <t>Legs &amp; Glutes</t>
        </is>
      </c>
      <c r="C46" s="8" t="inlineStr">
        <is>
          <t>Leg Day Workout Plan (Complete)</t>
        </is>
      </c>
      <c r="D46" s="8" t="inlineStr">
        <is>
          <t>leg day workout</t>
        </is>
      </c>
      <c r="E46" s="8" t="inlineStr">
        <is>
          <t>27.1K</t>
        </is>
      </c>
      <c r="F46" s="8" t="inlineStr">
        <is>
          <t>Yes</t>
        </is>
      </c>
      <c r="G46" s="8" t="inlineStr">
        <is>
          <t>Low</t>
        </is>
      </c>
      <c r="H46" s="8" t="inlineStr">
        <is>
          <t>P1</t>
        </is>
      </c>
      <c r="I46" s="8" t="inlineStr">
        <is>
          <t>leg-day-workout</t>
        </is>
      </c>
      <c r="J46" s="8" t="inlineStr">
        <is>
          <t>Squat guides (all 5), Deadlift</t>
        </is>
      </c>
      <c r="K46" s="8" t="inlineStr">
        <is>
          <t>Written (Batch 2)</t>
        </is>
      </c>
      <c r="L46" s="8" t="n"/>
    </row>
    <row r="47" ht="15" customHeight="1" s="6">
      <c r="A47" s="8" t="n">
        <v>55</v>
      </c>
      <c r="B47" s="8" t="inlineStr">
        <is>
          <t>Legs &amp; Glutes</t>
        </is>
      </c>
      <c r="C47" s="8" t="inlineStr">
        <is>
          <t>Glute Workout at Home (No Equipment)</t>
        </is>
      </c>
      <c r="D47" s="8" t="inlineStr">
        <is>
          <t>glute workout at home</t>
        </is>
      </c>
      <c r="E47" s="8" t="inlineStr">
        <is>
          <t>4K+</t>
        </is>
      </c>
      <c r="F47" s="8" t="inlineStr">
        <is>
          <t>No (estimate)</t>
        </is>
      </c>
      <c r="G47" s="8" t="inlineStr">
        <is>
          <t>Low</t>
        </is>
      </c>
      <c r="H47" s="8" t="inlineStr">
        <is>
          <t>P2</t>
        </is>
      </c>
      <c r="I47" s="8" t="inlineStr">
        <is>
          <t>glute-workout-at-home</t>
        </is>
      </c>
      <c r="J47" s="8" t="inlineStr">
        <is>
          <t>Home articles, Medicine Ball</t>
        </is>
      </c>
      <c r="K47" s="8" t="inlineStr">
        <is>
          <t>To write</t>
        </is>
      </c>
      <c r="L47" s="8" t="n"/>
    </row>
    <row r="48" ht="15" customHeight="1" s="6">
      <c r="A48" s="8" t="n">
        <v>56</v>
      </c>
      <c r="B48" s="8" t="inlineStr">
        <is>
          <t>Legs &amp; Glutes</t>
        </is>
      </c>
      <c r="C48" s="8" t="inlineStr">
        <is>
          <t>Dumbbell Leg Workout Plan (Home)</t>
        </is>
      </c>
      <c r="D48" s="8" t="inlineStr">
        <is>
          <t>dumbbell leg workout plan</t>
        </is>
      </c>
      <c r="E48" s="8" t="inlineStr">
        <is>
          <t>1.5K+</t>
        </is>
      </c>
      <c r="F48" s="8" t="inlineStr">
        <is>
          <t>No (estimate)</t>
        </is>
      </c>
      <c r="G48" s="8" t="inlineStr">
        <is>
          <t>Low</t>
        </is>
      </c>
      <c r="H48" s="8" t="inlineStr">
        <is>
          <t>P3</t>
        </is>
      </c>
      <c r="I48" s="8" t="inlineStr">
        <is>
          <t>dumbbell-leg-workout-plan</t>
        </is>
      </c>
      <c r="J48" s="8" t="inlineStr">
        <is>
          <t>Squat guides, Equipment</t>
        </is>
      </c>
      <c r="K48" s="8" t="inlineStr">
        <is>
          <t>To write</t>
        </is>
      </c>
      <c r="L48" s="8" t="n"/>
    </row>
    <row r="49" ht="15" customHeight="1" s="6">
      <c r="A49" s="8" t="n">
        <v>57</v>
      </c>
      <c r="B49" s="8" t="inlineStr">
        <is>
          <t>Legs &amp; Glutes</t>
        </is>
      </c>
      <c r="C49" s="8" t="inlineStr">
        <is>
          <t>Quad and Hamstring Workout Plan</t>
        </is>
      </c>
      <c r="D49" s="8" t="inlineStr">
        <is>
          <t>quad and hamstring workout</t>
        </is>
      </c>
      <c r="E49" s="8" t="inlineStr">
        <is>
          <t>1K+</t>
        </is>
      </c>
      <c r="F49" s="8" t="inlineStr">
        <is>
          <t>No (estimate)</t>
        </is>
      </c>
      <c r="G49" s="8" t="inlineStr">
        <is>
          <t>Low</t>
        </is>
      </c>
      <c r="H49" s="8" t="inlineStr">
        <is>
          <t>P3</t>
        </is>
      </c>
      <c r="I49" s="8" t="inlineStr">
        <is>
          <t>quad-and-hamstring-workout</t>
        </is>
      </c>
      <c r="J49" s="8" t="inlineStr">
        <is>
          <t>Squat guides, Deadlift guides</t>
        </is>
      </c>
      <c r="K49" s="8" t="inlineStr">
        <is>
          <t>To write</t>
        </is>
      </c>
      <c r="L49" s="8" t="n"/>
    </row>
    <row r="50" ht="15" customHeight="1" s="6">
      <c r="A50" s="8" t="n">
        <v>59</v>
      </c>
      <c r="B50" s="8" t="inlineStr">
        <is>
          <t>Legs &amp; Glutes</t>
        </is>
      </c>
      <c r="C50" s="8" t="inlineStr">
        <is>
          <t>Glute Activation Workout (Pre-Workout)</t>
        </is>
      </c>
      <c r="D50" s="8" t="inlineStr">
        <is>
          <t>glute activation workout</t>
        </is>
      </c>
      <c r="E50" s="8" t="inlineStr">
        <is>
          <t>2K+</t>
        </is>
      </c>
      <c r="F50" s="8" t="inlineStr">
        <is>
          <t>No (estimate)</t>
        </is>
      </c>
      <c r="G50" s="8" t="inlineStr">
        <is>
          <t>Low</t>
        </is>
      </c>
      <c r="H50" s="8" t="inlineStr">
        <is>
          <t>P2</t>
        </is>
      </c>
      <c r="I50" s="8" t="inlineStr">
        <is>
          <t>glute-activation-workout</t>
        </is>
      </c>
      <c r="J50" s="8" t="inlineStr">
        <is>
          <t>Squat guides, Cable exercises</t>
        </is>
      </c>
      <c r="K50" s="8" t="inlineStr">
        <is>
          <t>To write</t>
        </is>
      </c>
      <c r="L50" s="8" t="n"/>
    </row>
    <row r="51" ht="15" customHeight="1" s="6">
      <c r="A51" s="8" t="n">
        <v>60</v>
      </c>
      <c r="B51" s="8" t="inlineStr">
        <is>
          <t>Legs &amp; Glutes</t>
        </is>
      </c>
      <c r="C51" s="8" t="inlineStr">
        <is>
          <t>Hip Thrust Workout Program</t>
        </is>
      </c>
      <c r="D51" s="8" t="inlineStr">
        <is>
          <t>hip thrust workout plan</t>
        </is>
      </c>
      <c r="E51" s="8" t="inlineStr">
        <is>
          <t>2K+</t>
        </is>
      </c>
      <c r="F51" s="8" t="inlineStr">
        <is>
          <t>No (estimate)</t>
        </is>
      </c>
      <c r="G51" s="8" t="inlineStr">
        <is>
          <t>Low</t>
        </is>
      </c>
      <c r="H51" s="8" t="inlineStr">
        <is>
          <t>P2</t>
        </is>
      </c>
      <c r="I51" s="8" t="inlineStr">
        <is>
          <t>hip-thrust-workout-plan</t>
        </is>
      </c>
      <c r="J51" s="8" t="inlineStr">
        <is>
          <t>Glute plan, Squat guides</t>
        </is>
      </c>
      <c r="K51" s="8" t="inlineStr">
        <is>
          <t>To write</t>
        </is>
      </c>
      <c r="L51" s="8" t="n"/>
    </row>
    <row r="52" ht="15" customHeight="1" s="6">
      <c r="A52" s="8" t="n">
        <v>62</v>
      </c>
      <c r="B52" s="8" t="inlineStr">
        <is>
          <t>Core &amp; Abs</t>
        </is>
      </c>
      <c r="C52" s="8" t="inlineStr">
        <is>
          <t>Core Strengthening Workout Plan</t>
        </is>
      </c>
      <c r="D52" s="8" t="inlineStr">
        <is>
          <t>core workout</t>
        </is>
      </c>
      <c r="E52" s="8" t="inlineStr">
        <is>
          <t>60.5K</t>
        </is>
      </c>
      <c r="F52" s="8" t="inlineStr">
        <is>
          <t>Yes</t>
        </is>
      </c>
      <c r="G52" s="8" t="inlineStr">
        <is>
          <t>Low</t>
        </is>
      </c>
      <c r="H52" s="8" t="inlineStr">
        <is>
          <t>P1</t>
        </is>
      </c>
      <c r="I52" s="8" t="inlineStr">
        <is>
          <t>core-workout</t>
        </is>
      </c>
      <c r="J52" s="8" t="inlineStr">
        <is>
          <t>Medicine Ball, Advanced Techniques</t>
        </is>
      </c>
      <c r="K52" s="8" t="inlineStr">
        <is>
          <t>Written (Batch 2)</t>
        </is>
      </c>
      <c r="L52" s="8" t="n"/>
    </row>
    <row r="53" ht="15" customHeight="1" s="6">
      <c r="A53" s="8" t="n">
        <v>63</v>
      </c>
      <c r="B53" s="8" t="inlineStr">
        <is>
          <t>Core &amp; Abs</t>
        </is>
      </c>
      <c r="C53" s="8" t="inlineStr">
        <is>
          <t>Ab Workout at Home (No Equipment)</t>
        </is>
      </c>
      <c r="D53" s="8" t="inlineStr">
        <is>
          <t>ab workout at home plan</t>
        </is>
      </c>
      <c r="E53" s="8" t="inlineStr">
        <is>
          <t>2K+</t>
        </is>
      </c>
      <c r="F53" s="8" t="inlineStr">
        <is>
          <t>No (estimate)</t>
        </is>
      </c>
      <c r="G53" s="8" t="inlineStr">
        <is>
          <t>Low</t>
        </is>
      </c>
      <c r="H53" s="8" t="inlineStr">
        <is>
          <t>P2</t>
        </is>
      </c>
      <c r="I53" s="8" t="inlineStr">
        <is>
          <t>ab-workout-at-home-plan</t>
        </is>
      </c>
      <c r="J53" s="8" t="inlineStr">
        <is>
          <t>Medicine Ball, Home articles</t>
        </is>
      </c>
      <c r="K53" s="8" t="inlineStr">
        <is>
          <t>To write</t>
        </is>
      </c>
      <c r="L53" s="8" t="n"/>
    </row>
    <row r="54" ht="15" customHeight="1" s="6">
      <c r="A54" s="8" t="n">
        <v>64</v>
      </c>
      <c r="B54" s="8" t="inlineStr">
        <is>
          <t>Core &amp; Abs</t>
        </is>
      </c>
      <c r="C54" s="8" t="inlineStr">
        <is>
          <t>10-Minute Daily Ab Workout</t>
        </is>
      </c>
      <c r="D54" s="8" t="inlineStr">
        <is>
          <t>10 minute ab workout daily</t>
        </is>
      </c>
      <c r="E54" s="8" t="inlineStr">
        <is>
          <t>2K+</t>
        </is>
      </c>
      <c r="F54" s="8" t="inlineStr">
        <is>
          <t>No (estimate)</t>
        </is>
      </c>
      <c r="G54" s="8" t="inlineStr">
        <is>
          <t>Low</t>
        </is>
      </c>
      <c r="H54" s="8" t="inlineStr">
        <is>
          <t>P2</t>
        </is>
      </c>
      <c r="I54" s="8" t="inlineStr">
        <is>
          <t>10-minute-ab-workout-daily</t>
        </is>
      </c>
      <c r="J54" s="8" t="inlineStr">
        <is>
          <t>30-min guide, Medicine Ball</t>
        </is>
      </c>
      <c r="K54" s="8" t="inlineStr">
        <is>
          <t>To write</t>
        </is>
      </c>
      <c r="L54" s="8" t="n"/>
    </row>
    <row r="55" ht="23.85" customHeight="1" s="6">
      <c r="A55" s="8" t="n">
        <v>65</v>
      </c>
      <c r="B55" s="8" t="inlineStr">
        <is>
          <t>Core &amp; Abs</t>
        </is>
      </c>
      <c r="C55" s="8" t="inlineStr">
        <is>
          <t>Plank Workout Challenge (30-Day)</t>
        </is>
      </c>
      <c r="D55" s="8" t="inlineStr">
        <is>
          <t>plank workout challenge</t>
        </is>
      </c>
      <c r="E55" s="8" t="inlineStr">
        <is>
          <t>1.5K+</t>
        </is>
      </c>
      <c r="F55" s="8" t="inlineStr">
        <is>
          <t>No (estimate)</t>
        </is>
      </c>
      <c r="G55" s="8" t="inlineStr">
        <is>
          <t>Low</t>
        </is>
      </c>
      <c r="H55" s="8" t="inlineStr">
        <is>
          <t>P3</t>
        </is>
      </c>
      <c r="I55" s="8" t="inlineStr">
        <is>
          <t>plank-workout-challenge</t>
        </is>
      </c>
      <c r="J55" s="8" t="inlineStr">
        <is>
          <t>Core plan, Medicine Ball</t>
        </is>
      </c>
      <c r="K55" s="8" t="inlineStr">
        <is>
          <t>To write</t>
        </is>
      </c>
      <c r="L55" s="8" t="inlineStr">
        <is>
          <t>Avoid extreme hold-time targets; focus on progressive, controlled holds.</t>
        </is>
      </c>
    </row>
    <row r="56" ht="15" customHeight="1" s="6">
      <c r="A56" s="8" t="n">
        <v>67</v>
      </c>
      <c r="B56" s="8" t="inlineStr">
        <is>
          <t>Core &amp; Abs</t>
        </is>
      </c>
      <c r="C56" s="8" t="inlineStr">
        <is>
          <t>Anti-Rotation Core Workout Plan</t>
        </is>
      </c>
      <c r="D56" s="8" t="inlineStr">
        <is>
          <t>anti rotation core workout</t>
        </is>
      </c>
      <c r="E56" s="8" t="inlineStr">
        <is>
          <t>800+</t>
        </is>
      </c>
      <c r="F56" s="8" t="inlineStr">
        <is>
          <t>No (estimate)</t>
        </is>
      </c>
      <c r="G56" s="8" t="inlineStr">
        <is>
          <t>Low</t>
        </is>
      </c>
      <c r="H56" s="8" t="inlineStr">
        <is>
          <t>P3</t>
        </is>
      </c>
      <c r="I56" s="8" t="inlineStr">
        <is>
          <t>anti-rotation-core-workout</t>
        </is>
      </c>
      <c r="J56" s="8" t="inlineStr">
        <is>
          <t>Cable exercises, Advanced Techniques</t>
        </is>
      </c>
      <c r="K56" s="8" t="inlineStr">
        <is>
          <t>To write</t>
        </is>
      </c>
      <c r="L56" s="8" t="n"/>
    </row>
    <row r="57" ht="15" customHeight="1" s="6">
      <c r="A57" s="8" t="n">
        <v>68</v>
      </c>
      <c r="B57" s="8" t="inlineStr">
        <is>
          <t>Core &amp; Abs</t>
        </is>
      </c>
      <c r="C57" s="8" t="inlineStr">
        <is>
          <t>Abs and Cardio Combo Workout Plan</t>
        </is>
      </c>
      <c r="D57" s="8" t="inlineStr">
        <is>
          <t>abs and cardio workout plan</t>
        </is>
      </c>
      <c r="E57" s="8" t="inlineStr">
        <is>
          <t>1K+</t>
        </is>
      </c>
      <c r="F57" s="8" t="inlineStr">
        <is>
          <t>No (estimate)</t>
        </is>
      </c>
      <c r="G57" s="8" t="inlineStr">
        <is>
          <t>Low</t>
        </is>
      </c>
      <c r="H57" s="8" t="inlineStr">
        <is>
          <t>P3</t>
        </is>
      </c>
      <c r="I57" s="8" t="inlineStr">
        <is>
          <t>abs-and-cardio-workout-plan</t>
        </is>
      </c>
      <c r="J57" s="8" t="inlineStr">
        <is>
          <t>HIIT guide, Medicine Ball, Nutrition</t>
        </is>
      </c>
      <c r="K57" s="8" t="inlineStr">
        <is>
          <t>To write</t>
        </is>
      </c>
      <c r="L57" s="8" t="inlineStr">
        <is>
          <t>Keep nutrition general; no fat-loss timelines.</t>
        </is>
      </c>
    </row>
    <row r="58" ht="15" customHeight="1" s="6">
      <c r="A58" s="8" t="n">
        <v>69</v>
      </c>
      <c r="B58" s="8" t="inlineStr">
        <is>
          <t>Calisthenics</t>
        </is>
      </c>
      <c r="C58" s="8" t="inlineStr">
        <is>
          <t>Beginner Calisthenics Workout Plan (12-Week)</t>
        </is>
      </c>
      <c r="D58" s="8" t="inlineStr">
        <is>
          <t>calisthenics workout plan</t>
        </is>
      </c>
      <c r="E58" s="8" t="inlineStr">
        <is>
          <t>27.1K</t>
        </is>
      </c>
      <c r="F58" s="8" t="inlineStr">
        <is>
          <t>Yes</t>
        </is>
      </c>
      <c r="G58" s="8" t="inlineStr">
        <is>
          <t>Low</t>
        </is>
      </c>
      <c r="H58" s="8" t="inlineStr">
        <is>
          <t>P1</t>
        </is>
      </c>
      <c r="I58" s="8" t="inlineStr">
        <is>
          <t>calisthenics-workout-plan</t>
        </is>
      </c>
      <c r="J58" s="8" t="inlineStr">
        <is>
          <t>Medicine Ball, Advanced Techniques</t>
        </is>
      </c>
      <c r="K58" s="8" t="inlineStr">
        <is>
          <t>To write</t>
        </is>
      </c>
      <c r="L58" s="8" t="n"/>
    </row>
    <row r="59" ht="15" customHeight="1" s="6">
      <c r="A59" s="8" t="n">
        <v>70</v>
      </c>
      <c r="B59" s="8" t="inlineStr">
        <is>
          <t>Calisthenics</t>
        </is>
      </c>
      <c r="C59" s="8" t="inlineStr">
        <is>
          <t>Push Up Workout Plan (Progressive)</t>
        </is>
      </c>
      <c r="D59" s="8" t="inlineStr">
        <is>
          <t>push up workout</t>
        </is>
      </c>
      <c r="E59" s="8" t="inlineStr">
        <is>
          <t>2.9K</t>
        </is>
      </c>
      <c r="F59" s="8" t="inlineStr">
        <is>
          <t>Yes</t>
        </is>
      </c>
      <c r="G59" s="8" t="inlineStr">
        <is>
          <t>Low</t>
        </is>
      </c>
      <c r="H59" s="8" t="inlineStr">
        <is>
          <t>P2</t>
        </is>
      </c>
      <c r="I59" s="8" t="inlineStr">
        <is>
          <t>push-up-workout</t>
        </is>
      </c>
      <c r="J59" s="8" t="inlineStr">
        <is>
          <t>Bench Press guides, Reps &amp; Sets</t>
        </is>
      </c>
      <c r="K59" s="8" t="inlineStr">
        <is>
          <t>To write</t>
        </is>
      </c>
      <c r="L59" s="8" t="n"/>
    </row>
    <row r="60" ht="15" customHeight="1" s="6">
      <c r="A60" s="8" t="n">
        <v>71</v>
      </c>
      <c r="B60" s="8" t="inlineStr">
        <is>
          <t>Calisthenics</t>
        </is>
      </c>
      <c r="C60" s="8" t="inlineStr">
        <is>
          <t>Pull Up Progression Program</t>
        </is>
      </c>
      <c r="D60" s="8" t="inlineStr">
        <is>
          <t>pull up progression plan</t>
        </is>
      </c>
      <c r="E60" s="8" t="inlineStr">
        <is>
          <t>2K+</t>
        </is>
      </c>
      <c r="F60" s="8" t="inlineStr">
        <is>
          <t>No (estimate)</t>
        </is>
      </c>
      <c r="G60" s="8" t="inlineStr">
        <is>
          <t>Low</t>
        </is>
      </c>
      <c r="H60" s="8" t="inlineStr">
        <is>
          <t>P2</t>
        </is>
      </c>
      <c r="I60" s="8" t="inlineStr">
        <is>
          <t>pull-up-progression-plan</t>
        </is>
      </c>
      <c r="J60" s="8" t="inlineStr">
        <is>
          <t>Back guides, Reps &amp; Sets</t>
        </is>
      </c>
      <c r="K60" s="8" t="inlineStr">
        <is>
          <t>To write</t>
        </is>
      </c>
      <c r="L60" s="8" t="n"/>
    </row>
    <row r="61" ht="15" customHeight="1" s="6">
      <c r="A61" s="8" t="n">
        <v>72</v>
      </c>
      <c r="B61" s="8" t="inlineStr">
        <is>
          <t>Calisthenics</t>
        </is>
      </c>
      <c r="C61" s="8" t="inlineStr">
        <is>
          <t>Pistol Squat Progression Plan</t>
        </is>
      </c>
      <c r="D61" s="8" t="inlineStr">
        <is>
          <t>pistol squat progression</t>
        </is>
      </c>
      <c r="E61" s="8" t="inlineStr">
        <is>
          <t>1.7K</t>
        </is>
      </c>
      <c r="F61" s="8" t="inlineStr">
        <is>
          <t>No (estimate)</t>
        </is>
      </c>
      <c r="G61" s="8" t="inlineStr">
        <is>
          <t>Low</t>
        </is>
      </c>
      <c r="H61" s="8" t="inlineStr">
        <is>
          <t>P2</t>
        </is>
      </c>
      <c r="I61" s="8" t="inlineStr">
        <is>
          <t>pistol-squat-progression</t>
        </is>
      </c>
      <c r="J61" s="8" t="inlineStr">
        <is>
          <t>Squat guides, Advanced Techniques</t>
        </is>
      </c>
      <c r="K61" s="8" t="inlineStr">
        <is>
          <t>To write</t>
        </is>
      </c>
      <c r="L61" s="8" t="inlineStr">
        <is>
          <t>Include knee-safe regressions (box pistols, assisted).</t>
        </is>
      </c>
    </row>
    <row r="62" ht="15" customHeight="1" s="6">
      <c r="A62" s="8" t="n">
        <v>73</v>
      </c>
      <c r="B62" s="8" t="inlineStr">
        <is>
          <t>Calisthenics</t>
        </is>
      </c>
      <c r="C62" s="8" t="inlineStr">
        <is>
          <t>Calisthenics Skills Program (Intermediate)</t>
        </is>
      </c>
      <c r="D62" s="8" t="inlineStr">
        <is>
          <t>calisthenics skills workout</t>
        </is>
      </c>
      <c r="E62" s="8" t="inlineStr">
        <is>
          <t>1K+</t>
        </is>
      </c>
      <c r="F62" s="8" t="inlineStr">
        <is>
          <t>No (estimate)</t>
        </is>
      </c>
      <c r="G62" s="8" t="inlineStr">
        <is>
          <t>Low</t>
        </is>
      </c>
      <c r="H62" s="8" t="inlineStr">
        <is>
          <t>P3</t>
        </is>
      </c>
      <c r="I62" s="8" t="inlineStr">
        <is>
          <t>calisthenics-skills-workout</t>
        </is>
      </c>
      <c r="J62" s="8" t="inlineStr">
        <is>
          <t>Advanced Techniques, Reps &amp; Sets</t>
        </is>
      </c>
      <c r="K62" s="8" t="inlineStr">
        <is>
          <t>To write</t>
        </is>
      </c>
      <c r="L62" s="8" t="n"/>
    </row>
    <row r="63" ht="23.85" customHeight="1" s="6">
      <c r="A63" s="8" t="n">
        <v>74</v>
      </c>
      <c r="B63" s="8" t="inlineStr">
        <is>
          <t>Calisthenics</t>
        </is>
      </c>
      <c r="C63" s="8" t="inlineStr">
        <is>
          <t>Handstand Progression Workout Plan</t>
        </is>
      </c>
      <c r="D63" s="8" t="inlineStr">
        <is>
          <t>handstand workout plan</t>
        </is>
      </c>
      <c r="E63" s="8" t="inlineStr">
        <is>
          <t>1K+</t>
        </is>
      </c>
      <c r="F63" s="8" t="inlineStr">
        <is>
          <t>No (estimate)</t>
        </is>
      </c>
      <c r="G63" s="8" t="inlineStr">
        <is>
          <t>Low</t>
        </is>
      </c>
      <c r="H63" s="8" t="inlineStr">
        <is>
          <t>P3</t>
        </is>
      </c>
      <c r="I63" s="8" t="inlineStr">
        <is>
          <t>handstand-workout-plan</t>
        </is>
      </c>
      <c r="J63" s="8" t="inlineStr">
        <is>
          <t>Advanced Techniques, Core plan</t>
        </is>
      </c>
      <c r="K63" s="8" t="inlineStr">
        <is>
          <t>To write</t>
        </is>
      </c>
      <c r="L63" s="8" t="inlineStr">
        <is>
          <t>Include wrist preparation and wall-supported progressions.</t>
        </is>
      </c>
    </row>
    <row r="64" ht="23.85" customHeight="1" s="6">
      <c r="A64" s="8" t="n">
        <v>75</v>
      </c>
      <c r="B64" s="8" t="inlineStr">
        <is>
          <t>Calisthenics</t>
        </is>
      </c>
      <c r="C64" s="8" t="inlineStr">
        <is>
          <t>Muscle Up Progression Program</t>
        </is>
      </c>
      <c r="D64" s="8" t="inlineStr">
        <is>
          <t>muscle up progression workout</t>
        </is>
      </c>
      <c r="E64" s="8" t="inlineStr">
        <is>
          <t>1K+</t>
        </is>
      </c>
      <c r="F64" s="8" t="inlineStr">
        <is>
          <t>No (estimate)</t>
        </is>
      </c>
      <c r="G64" s="8" t="inlineStr">
        <is>
          <t>Low</t>
        </is>
      </c>
      <c r="H64" s="8" t="inlineStr">
        <is>
          <t>P3</t>
        </is>
      </c>
      <c r="I64" s="8" t="inlineStr">
        <is>
          <t>muscle-up-progression-workout</t>
        </is>
      </c>
      <c r="J64" s="8" t="inlineStr">
        <is>
          <t>Pull up plan, Advanced Techniques</t>
        </is>
      </c>
      <c r="K64" s="8" t="inlineStr">
        <is>
          <t>To write</t>
        </is>
      </c>
      <c r="L64" s="8" t="inlineStr">
        <is>
          <t>Include shoulder-safe progressions; advanced readers only.</t>
        </is>
      </c>
    </row>
    <row r="65" ht="15" customHeight="1" s="6">
      <c r="A65" s="8" t="n">
        <v>76</v>
      </c>
      <c r="B65" s="8" t="inlineStr">
        <is>
          <t>Calisthenics</t>
        </is>
      </c>
      <c r="C65" s="8" t="inlineStr">
        <is>
          <t>Street Workout Plan for Beginners</t>
        </is>
      </c>
      <c r="D65" s="8" t="inlineStr">
        <is>
          <t>street workout plan beginners</t>
        </is>
      </c>
      <c r="E65" s="8" t="inlineStr">
        <is>
          <t>1K+</t>
        </is>
      </c>
      <c r="F65" s="8" t="inlineStr">
        <is>
          <t>No (estimate)</t>
        </is>
      </c>
      <c r="G65" s="8" t="inlineStr">
        <is>
          <t>Low</t>
        </is>
      </c>
      <c r="H65" s="8" t="inlineStr">
        <is>
          <t>P3</t>
        </is>
      </c>
      <c r="I65" s="8" t="inlineStr">
        <is>
          <t>street-workout-plan-beginners</t>
        </is>
      </c>
      <c r="J65" s="8" t="inlineStr">
        <is>
          <t>Calisthenics plan, Medicine Ball</t>
        </is>
      </c>
      <c r="K65" s="8" t="inlineStr">
        <is>
          <t>To write</t>
        </is>
      </c>
      <c r="L65" s="8" t="n"/>
    </row>
    <row r="66" ht="15" customHeight="1" s="6">
      <c r="A66" s="8" t="n">
        <v>77</v>
      </c>
      <c r="B66" s="8" t="inlineStr">
        <is>
          <t>Quick Workouts</t>
        </is>
      </c>
      <c r="C66" s="8" t="inlineStr">
        <is>
          <t>10-Minute Full Body Workout (Daily)</t>
        </is>
      </c>
      <c r="D66" s="8" t="inlineStr">
        <is>
          <t>full body workout</t>
        </is>
      </c>
      <c r="E66" s="8" t="inlineStr">
        <is>
          <t>33.1K</t>
        </is>
      </c>
      <c r="F66" s="8" t="inlineStr">
        <is>
          <t>Yes</t>
        </is>
      </c>
      <c r="G66" s="8" t="inlineStr">
        <is>
          <t>Low</t>
        </is>
      </c>
      <c r="H66" s="8" t="inlineStr">
        <is>
          <t>P1</t>
        </is>
      </c>
      <c r="I66" s="8" t="inlineStr">
        <is>
          <t>full-body-workout</t>
        </is>
      </c>
      <c r="J66" s="8" t="inlineStr">
        <is>
          <t>30-min guide, Bodyweight plan</t>
        </is>
      </c>
      <c r="K66" s="8" t="inlineStr">
        <is>
          <t>To write</t>
        </is>
      </c>
      <c r="L66" s="8" t="n"/>
    </row>
    <row r="67" ht="15" customHeight="1" s="6">
      <c r="A67" s="8" t="n">
        <v>78</v>
      </c>
      <c r="B67" s="8" t="inlineStr">
        <is>
          <t>Quick Workouts</t>
        </is>
      </c>
      <c r="C67" s="8" t="inlineStr">
        <is>
          <t>15-Minute HIIT Workout Plan</t>
        </is>
      </c>
      <c r="D67" s="8" t="inlineStr">
        <is>
          <t>15 minute hiit workout</t>
        </is>
      </c>
      <c r="E67" s="8" t="inlineStr">
        <is>
          <t>2K+</t>
        </is>
      </c>
      <c r="F67" s="8" t="inlineStr">
        <is>
          <t>No (estimate)</t>
        </is>
      </c>
      <c r="G67" s="8" t="inlineStr">
        <is>
          <t>Low</t>
        </is>
      </c>
      <c r="H67" s="8" t="inlineStr">
        <is>
          <t>P2</t>
        </is>
      </c>
      <c r="I67" s="8" t="inlineStr">
        <is>
          <t>15-minute-hiit-workout</t>
        </is>
      </c>
      <c r="J67" s="8" t="inlineStr">
        <is>
          <t>HIIT guide, 30-min guide</t>
        </is>
      </c>
      <c r="K67" s="8" t="inlineStr">
        <is>
          <t>To write</t>
        </is>
      </c>
      <c r="L67" s="8" t="n"/>
    </row>
    <row r="68" ht="15" customHeight="1" s="6">
      <c r="A68" s="8" t="n">
        <v>79</v>
      </c>
      <c r="B68" s="8" t="inlineStr">
        <is>
          <t>Quick Workouts</t>
        </is>
      </c>
      <c r="C68" s="8" t="inlineStr">
        <is>
          <t>20-Minute Full Body Strength Workout</t>
        </is>
      </c>
      <c r="D68" s="8" t="inlineStr">
        <is>
          <t>20 minute strength workout</t>
        </is>
      </c>
      <c r="E68" s="8" t="inlineStr">
        <is>
          <t>2K+</t>
        </is>
      </c>
      <c r="F68" s="8" t="inlineStr">
        <is>
          <t>No (estimate)</t>
        </is>
      </c>
      <c r="G68" s="8" t="inlineStr">
        <is>
          <t>Low</t>
        </is>
      </c>
      <c r="H68" s="8" t="inlineStr">
        <is>
          <t>P2</t>
        </is>
      </c>
      <c r="I68" s="8" t="inlineStr">
        <is>
          <t>20-minute-strength-workout</t>
        </is>
      </c>
      <c r="J68" s="8" t="inlineStr">
        <is>
          <t>30-min guide, Compound lifts</t>
        </is>
      </c>
      <c r="K68" s="8" t="inlineStr">
        <is>
          <t>To write</t>
        </is>
      </c>
      <c r="L68" s="8" t="n"/>
    </row>
    <row r="69" ht="15" customHeight="1" s="6">
      <c r="A69" s="8" t="n">
        <v>80</v>
      </c>
      <c r="B69" s="8" t="inlineStr">
        <is>
          <t>Quick Workouts</t>
        </is>
      </c>
      <c r="C69" s="8" t="inlineStr">
        <is>
          <t>30-Minute Gym Workout Plan</t>
        </is>
      </c>
      <c r="D69" s="8" t="inlineStr">
        <is>
          <t>30 minute gym workout plan</t>
        </is>
      </c>
      <c r="E69" s="8" t="inlineStr">
        <is>
          <t>2K+</t>
        </is>
      </c>
      <c r="F69" s="8" t="inlineStr">
        <is>
          <t>No (estimate)</t>
        </is>
      </c>
      <c r="G69" s="8" t="inlineStr">
        <is>
          <t>Low</t>
        </is>
      </c>
      <c r="H69" s="8" t="inlineStr">
        <is>
          <t>P2</t>
        </is>
      </c>
      <c r="I69" s="8" t="inlineStr">
        <is>
          <t>30-minute-gym-workout-plan</t>
        </is>
      </c>
      <c r="J69" s="8" t="inlineStr">
        <is>
          <t>30-min guide, Equipment guides</t>
        </is>
      </c>
      <c r="K69" s="8" t="inlineStr">
        <is>
          <t>To write</t>
        </is>
      </c>
      <c r="L69" s="8" t="n"/>
    </row>
    <row r="70" ht="15" customHeight="1" s="6">
      <c r="A70" s="8" t="n">
        <v>81</v>
      </c>
      <c r="B70" s="8" t="inlineStr">
        <is>
          <t>Quick Workouts</t>
        </is>
      </c>
      <c r="C70" s="8" t="inlineStr">
        <is>
          <t>Lunch Break Workout (20 Minutes)</t>
        </is>
      </c>
      <c r="D70" s="8" t="inlineStr">
        <is>
          <t>lunch break workout plan</t>
        </is>
      </c>
      <c r="E70" s="8" t="inlineStr">
        <is>
          <t>1K+</t>
        </is>
      </c>
      <c r="F70" s="8" t="inlineStr">
        <is>
          <t>No (estimate)</t>
        </is>
      </c>
      <c r="G70" s="8" t="inlineStr">
        <is>
          <t>Low</t>
        </is>
      </c>
      <c r="H70" s="8" t="inlineStr">
        <is>
          <t>P3</t>
        </is>
      </c>
      <c r="I70" s="8" t="inlineStr">
        <is>
          <t>lunch-break-workout-plan</t>
        </is>
      </c>
      <c r="J70" s="8" t="inlineStr">
        <is>
          <t>30-min guide, Bodyweight exercises</t>
        </is>
      </c>
      <c r="K70" s="8" t="inlineStr">
        <is>
          <t>To write</t>
        </is>
      </c>
      <c r="L70" s="8" t="n"/>
    </row>
    <row r="71" ht="15" customHeight="1" s="6">
      <c r="A71" s="8" t="n">
        <v>82</v>
      </c>
      <c r="B71" s="8" t="inlineStr">
        <is>
          <t>Quick Workouts</t>
        </is>
      </c>
      <c r="C71" s="8" t="inlineStr">
        <is>
          <t>15-Minute Core Workout (No Equipment)</t>
        </is>
      </c>
      <c r="D71" s="8" t="inlineStr">
        <is>
          <t>15 minute core workout</t>
        </is>
      </c>
      <c r="E71" s="8" t="inlineStr">
        <is>
          <t>1.5K+</t>
        </is>
      </c>
      <c r="F71" s="8" t="inlineStr">
        <is>
          <t>No (estimate)</t>
        </is>
      </c>
      <c r="G71" s="8" t="inlineStr">
        <is>
          <t>Low</t>
        </is>
      </c>
      <c r="H71" s="8" t="inlineStr">
        <is>
          <t>P3</t>
        </is>
      </c>
      <c r="I71" s="8" t="inlineStr">
        <is>
          <t>15-minute-core-workout</t>
        </is>
      </c>
      <c r="J71" s="8" t="inlineStr">
        <is>
          <t>Core plan, Medicine Ball</t>
        </is>
      </c>
      <c r="K71" s="8" t="inlineStr">
        <is>
          <t>To write</t>
        </is>
      </c>
      <c r="L71" s="8" t="n"/>
    </row>
    <row r="72" ht="15" customHeight="1" s="6">
      <c r="A72" s="8" t="n">
        <v>83</v>
      </c>
      <c r="B72" s="8" t="inlineStr">
        <is>
          <t>Quick Workouts</t>
        </is>
      </c>
      <c r="C72" s="8" t="inlineStr">
        <is>
          <t>Early Morning 15-Minute Workout</t>
        </is>
      </c>
      <c r="D72" s="8" t="inlineStr">
        <is>
          <t>morning 15 minute workout</t>
        </is>
      </c>
      <c r="E72" s="8" t="inlineStr">
        <is>
          <t>1.5K+</t>
        </is>
      </c>
      <c r="F72" s="8" t="inlineStr">
        <is>
          <t>No (estimate)</t>
        </is>
      </c>
      <c r="G72" s="8" t="inlineStr">
        <is>
          <t>Low</t>
        </is>
      </c>
      <c r="H72" s="8" t="inlineStr">
        <is>
          <t>P3</t>
        </is>
      </c>
      <c r="I72" s="8" t="inlineStr">
        <is>
          <t>morning-15-minute-workout</t>
        </is>
      </c>
      <c r="J72" s="8" t="inlineStr">
        <is>
          <t>Morning routine, Nutrition</t>
        </is>
      </c>
      <c r="K72" s="8" t="inlineStr">
        <is>
          <t>To write</t>
        </is>
      </c>
      <c r="L72" s="8" t="n"/>
    </row>
    <row r="73" ht="15" customHeight="1" s="6">
      <c r="A73" s="8" t="n">
        <v>84</v>
      </c>
      <c r="B73" s="8" t="inlineStr">
        <is>
          <t>Quick Workouts</t>
        </is>
      </c>
      <c r="C73" s="8" t="inlineStr">
        <is>
          <t>10-Minute Stretching Routine (Daily)</t>
        </is>
      </c>
      <c r="D73" s="8" t="inlineStr">
        <is>
          <t>10 minute stretching routine</t>
        </is>
      </c>
      <c r="E73" s="8" t="inlineStr">
        <is>
          <t>2K+</t>
        </is>
      </c>
      <c r="F73" s="8" t="inlineStr">
        <is>
          <t>No (estimate)</t>
        </is>
      </c>
      <c r="G73" s="8" t="inlineStr">
        <is>
          <t>Low</t>
        </is>
      </c>
      <c r="H73" s="8" t="inlineStr">
        <is>
          <t>P2</t>
        </is>
      </c>
      <c r="I73" s="8" t="inlineStr">
        <is>
          <t>10-minute-stretching-routine</t>
        </is>
      </c>
      <c r="J73" s="8" t="inlineStr">
        <is>
          <t>Health &amp; Wellness, Recovery</t>
        </is>
      </c>
      <c r="K73" s="8" t="inlineStr">
        <is>
          <t>To write</t>
        </is>
      </c>
      <c r="L73" s="8" t="inlineStr">
        <is>
          <t>General flexibility only; no pain-relief claims.</t>
        </is>
      </c>
    </row>
    <row r="74" ht="15" customHeight="1" s="6">
      <c r="A74" s="8" t="n">
        <v>85</v>
      </c>
      <c r="B74" s="8" t="inlineStr">
        <is>
          <t>Beginner Specific</t>
        </is>
      </c>
      <c r="C74" s="8" t="inlineStr">
        <is>
          <t>Complete Beginner Gym Guide &amp; Plan</t>
        </is>
      </c>
      <c r="D74" s="8" t="inlineStr">
        <is>
          <t>beginner gym workout</t>
        </is>
      </c>
      <c r="E74" s="8" t="inlineStr">
        <is>
          <t>3.6K</t>
        </is>
      </c>
      <c r="F74" s="8" t="inlineStr">
        <is>
          <t>Yes</t>
        </is>
      </c>
      <c r="G74" s="8" t="inlineStr">
        <is>
          <t>Low</t>
        </is>
      </c>
      <c r="H74" s="8" t="inlineStr">
        <is>
          <t>P1</t>
        </is>
      </c>
      <c r="I74" s="8" t="inlineStr">
        <is>
          <t>beginner-gym-workout</t>
        </is>
      </c>
      <c r="J74" s="8" t="inlineStr">
        <is>
          <t>How to Structure, Reps, Equipment</t>
        </is>
      </c>
      <c r="K74" s="8" t="inlineStr">
        <is>
          <t>To write</t>
        </is>
      </c>
      <c r="L74" s="8" t="n"/>
    </row>
    <row r="75" ht="15" customHeight="1" s="6">
      <c r="A75" s="8" t="n">
        <v>86</v>
      </c>
      <c r="B75" s="8" t="inlineStr">
        <is>
          <t>Beginner Specific</t>
        </is>
      </c>
      <c r="C75" s="8" t="inlineStr">
        <is>
          <t>First 90 Days Workout Program</t>
        </is>
      </c>
      <c r="D75" s="8" t="inlineStr">
        <is>
          <t>90 day workout plan beginners</t>
        </is>
      </c>
      <c r="E75" s="8" t="inlineStr">
        <is>
          <t>1.5K+</t>
        </is>
      </c>
      <c r="F75" s="8" t="inlineStr">
        <is>
          <t>No (estimate)</t>
        </is>
      </c>
      <c r="G75" s="8" t="inlineStr">
        <is>
          <t>Low</t>
        </is>
      </c>
      <c r="H75" s="8" t="inlineStr">
        <is>
          <t>P2</t>
        </is>
      </c>
      <c r="I75" s="8" t="inlineStr">
        <is>
          <t>90-day-workout-plan-beginners</t>
        </is>
      </c>
      <c r="J75" s="8" t="inlineStr">
        <is>
          <t>All beginner content, Nutrition</t>
        </is>
      </c>
      <c r="K75" s="8" t="inlineStr">
        <is>
          <t>To write</t>
        </is>
      </c>
      <c r="L75" s="8" t="inlineStr">
        <is>
          <t>Nutrition part: dietitian review.</t>
        </is>
      </c>
    </row>
    <row r="76" ht="15" customHeight="1" s="6">
      <c r="A76" s="8" t="n">
        <v>87</v>
      </c>
      <c r="B76" s="8" t="inlineStr">
        <is>
          <t>Beginner Specific</t>
        </is>
      </c>
      <c r="C76" s="8" t="inlineStr">
        <is>
          <t>Workout Plan for Complete Beginners (No Gym)</t>
        </is>
      </c>
      <c r="D76" s="8" t="inlineStr">
        <is>
          <t>workout plan for beginners at home</t>
        </is>
      </c>
      <c r="E76" s="8" t="inlineStr">
        <is>
          <t>3K+</t>
        </is>
      </c>
      <c r="F76" s="8" t="inlineStr">
        <is>
          <t>No (estimate)</t>
        </is>
      </c>
      <c r="G76" s="8" t="inlineStr">
        <is>
          <t>Low</t>
        </is>
      </c>
      <c r="H76" s="8" t="inlineStr">
        <is>
          <t>P2</t>
        </is>
      </c>
      <c r="I76" s="8" t="inlineStr">
        <is>
          <t>workout-plan-for-beginners-at-home</t>
        </is>
      </c>
      <c r="J76" s="8" t="inlineStr">
        <is>
          <t>Home articles, 30-min guide</t>
        </is>
      </c>
      <c r="K76" s="8" t="inlineStr">
        <is>
          <t>To write</t>
        </is>
      </c>
      <c r="L76" s="8" t="n"/>
    </row>
    <row r="77" ht="15" customHeight="1" s="6">
      <c r="A77" s="8" t="n">
        <v>88</v>
      </c>
      <c r="B77" s="8" t="inlineStr">
        <is>
          <t>Beginner Specific</t>
        </is>
      </c>
      <c r="C77" s="8" t="inlineStr">
        <is>
          <t>Beginner Workout Plan for Women (Gym)</t>
        </is>
      </c>
      <c r="D77" s="8" t="inlineStr">
        <is>
          <t>beginner workout plan for women</t>
        </is>
      </c>
      <c r="E77" s="8" t="inlineStr">
        <is>
          <t>2K+</t>
        </is>
      </c>
      <c r="F77" s="8" t="inlineStr">
        <is>
          <t>No (estimate)</t>
        </is>
      </c>
      <c r="G77" s="8" t="inlineStr">
        <is>
          <t>Low</t>
        </is>
      </c>
      <c r="H77" s="8" t="inlineStr">
        <is>
          <t>P2</t>
        </is>
      </c>
      <c r="I77" s="8" t="inlineStr">
        <is>
          <t>beginner-workout-plan-for-women</t>
        </is>
      </c>
      <c r="J77" s="8" t="inlineStr">
        <is>
          <t>Glute plan, Fat loss plan, Nutrition</t>
        </is>
      </c>
      <c r="K77" s="8" t="inlineStr">
        <is>
          <t>To write</t>
        </is>
      </c>
      <c r="L77" s="8" t="inlineStr">
        <is>
          <t>Nutrition part: dietitian review; no weight-loss promises.</t>
        </is>
      </c>
    </row>
    <row r="78" ht="15" customHeight="1" s="6">
      <c r="A78" s="8" t="n">
        <v>89</v>
      </c>
      <c r="B78" s="8" t="inlineStr">
        <is>
          <t>Beginner Specific</t>
        </is>
      </c>
      <c r="C78" s="8" t="inlineStr">
        <is>
          <t>Beginner Workout Plan for Men (Gym)</t>
        </is>
      </c>
      <c r="D78" s="8" t="inlineStr">
        <is>
          <t>workout plan for men</t>
        </is>
      </c>
      <c r="E78" s="8" t="inlineStr">
        <is>
          <t>6.6K</t>
        </is>
      </c>
      <c r="F78" s="8" t="inlineStr">
        <is>
          <t>Yes</t>
        </is>
      </c>
      <c r="G78" s="8" t="inlineStr">
        <is>
          <t>Low</t>
        </is>
      </c>
      <c r="H78" s="8" t="inlineStr">
        <is>
          <t>P1</t>
        </is>
      </c>
      <c r="I78" s="8" t="inlineStr">
        <is>
          <t>workout-plan-for-men</t>
        </is>
      </c>
      <c r="J78" s="8" t="inlineStr">
        <is>
          <t>Compound lifts, 5x5, Nutrition</t>
        </is>
      </c>
      <c r="K78" s="8" t="inlineStr">
        <is>
          <t>To write</t>
        </is>
      </c>
      <c r="L78" s="8" t="inlineStr">
        <is>
          <t>Nutrition part: dietitian review.</t>
        </is>
      </c>
    </row>
    <row r="79" ht="15" customHeight="1" s="6">
      <c r="A79" s="8" t="n">
        <v>92</v>
      </c>
      <c r="B79" s="8" t="inlineStr">
        <is>
          <t>Beginner Specific</t>
        </is>
      </c>
      <c r="C79" s="8" t="inlineStr">
        <is>
          <t>How to Start Working Out (Complete Plan)</t>
        </is>
      </c>
      <c r="D79" s="8" t="inlineStr">
        <is>
          <t>how to start working out plan</t>
        </is>
      </c>
      <c r="E79" s="8" t="inlineStr">
        <is>
          <t>3K+</t>
        </is>
      </c>
      <c r="F79" s="8" t="inlineStr">
        <is>
          <t>No (estimate)</t>
        </is>
      </c>
      <c r="G79" s="8" t="inlineStr">
        <is>
          <t>Low</t>
        </is>
      </c>
      <c r="H79" s="8" t="inlineStr">
        <is>
          <t>P2</t>
        </is>
      </c>
      <c r="I79" s="8" t="inlineStr">
        <is>
          <t>how-to-start-working-out-plan</t>
        </is>
      </c>
      <c r="J79" s="8" t="inlineStr">
        <is>
          <t>How to Structure, Weekly Schedule</t>
        </is>
      </c>
      <c r="K79" s="8" t="inlineStr">
        <is>
          <t>To write</t>
        </is>
      </c>
      <c r="L79" s="8" t="n"/>
    </row>
    <row r="80" ht="23.85" customHeight="1" s="6">
      <c r="A80" s="8" t="n">
        <v>93</v>
      </c>
      <c r="B80" s="8" t="inlineStr">
        <is>
          <t>Warm Up, Mobility &amp; Recovery</t>
        </is>
      </c>
      <c r="C80" s="8" t="inlineStr">
        <is>
          <t>Full Body Warm Up Routine (Pre-Workout)</t>
        </is>
      </c>
      <c r="D80" s="8" t="inlineStr">
        <is>
          <t>warm up routine before workout</t>
        </is>
      </c>
      <c r="E80" s="8" t="inlineStr">
        <is>
          <t>3K+</t>
        </is>
      </c>
      <c r="F80" s="8" t="inlineStr">
        <is>
          <t>No (estimate)</t>
        </is>
      </c>
      <c r="G80" s="8" t="inlineStr">
        <is>
          <t>Low</t>
        </is>
      </c>
      <c r="H80" s="8" t="inlineStr">
        <is>
          <t>P2</t>
        </is>
      </c>
      <c r="I80" s="8" t="inlineStr">
        <is>
          <t>warm-up-routine-before-workout</t>
        </is>
      </c>
      <c r="J80" s="8" t="inlineStr">
        <is>
          <t>ALL gym plans (cross-link)</t>
        </is>
      </c>
      <c r="K80" s="8" t="inlineStr">
        <is>
          <t>To write</t>
        </is>
      </c>
      <c r="L80" s="8" t="n"/>
    </row>
    <row r="81" ht="23.85" customHeight="1" s="6">
      <c r="A81" s="8" t="n">
        <v>94</v>
      </c>
      <c r="B81" s="8" t="inlineStr">
        <is>
          <t>Warm Up, Mobility &amp; Recovery</t>
        </is>
      </c>
      <c r="C81" s="8" t="inlineStr">
        <is>
          <t>Full Body Mobility Routine for Lifters</t>
        </is>
      </c>
      <c r="D81" s="8" t="inlineStr">
        <is>
          <t>mobility routine</t>
        </is>
      </c>
      <c r="E81" s="8" t="inlineStr">
        <is>
          <t>880</t>
        </is>
      </c>
      <c r="F81" s="8" t="inlineStr">
        <is>
          <t>Yes</t>
        </is>
      </c>
      <c r="G81" s="8" t="inlineStr">
        <is>
          <t>Low</t>
        </is>
      </c>
      <c r="H81" s="8" t="inlineStr">
        <is>
          <t>P3</t>
        </is>
      </c>
      <c r="I81" s="8" t="inlineStr">
        <is>
          <t>mobility-routine</t>
        </is>
      </c>
      <c r="J81" s="8" t="inlineStr">
        <is>
          <t>Squat, Deadlift, Health guides</t>
        </is>
      </c>
      <c r="K81" s="8" t="inlineStr">
        <is>
          <t>To write</t>
        </is>
      </c>
      <c r="L81" s="8" t="n"/>
    </row>
    <row r="82" ht="23.85" customHeight="1" s="6">
      <c r="A82" s="8" t="n">
        <v>95</v>
      </c>
      <c r="B82" s="8" t="inlineStr">
        <is>
          <t>Warm Up, Mobility &amp; Recovery</t>
        </is>
      </c>
      <c r="C82" s="8" t="inlineStr">
        <is>
          <t>Post Workout Stretching Routine</t>
        </is>
      </c>
      <c r="D82" s="8" t="inlineStr">
        <is>
          <t>post workout stretching routine</t>
        </is>
      </c>
      <c r="E82" s="8" t="inlineStr">
        <is>
          <t>2K+</t>
        </is>
      </c>
      <c r="F82" s="8" t="inlineStr">
        <is>
          <t>No (estimate)</t>
        </is>
      </c>
      <c r="G82" s="8" t="inlineStr">
        <is>
          <t>Low</t>
        </is>
      </c>
      <c r="H82" s="8" t="inlineStr">
        <is>
          <t>P2</t>
        </is>
      </c>
      <c r="I82" s="8" t="inlineStr">
        <is>
          <t>post-workout-stretching-routine</t>
        </is>
      </c>
      <c r="J82" s="8" t="inlineStr">
        <is>
          <t>ALL plans, Health &amp; Wellness</t>
        </is>
      </c>
      <c r="K82" s="8" t="inlineStr">
        <is>
          <t>To write</t>
        </is>
      </c>
      <c r="L82" s="8" t="n"/>
    </row>
    <row r="83" ht="23.85" customHeight="1" s="6">
      <c r="A83" s="8" t="n">
        <v>96</v>
      </c>
      <c r="B83" s="8" t="inlineStr">
        <is>
          <t>Warm Up, Mobility &amp; Recovery</t>
        </is>
      </c>
      <c r="C83" s="8" t="inlineStr">
        <is>
          <t>Active Recovery Day Workout</t>
        </is>
      </c>
      <c r="D83" s="8" t="inlineStr">
        <is>
          <t>active recovery day workout</t>
        </is>
      </c>
      <c r="E83" s="8" t="inlineStr">
        <is>
          <t>1.5K+</t>
        </is>
      </c>
      <c r="F83" s="8" t="inlineStr">
        <is>
          <t>No (estimate)</t>
        </is>
      </c>
      <c r="G83" s="8" t="inlineStr">
        <is>
          <t>Low</t>
        </is>
      </c>
      <c r="H83" s="8" t="inlineStr">
        <is>
          <t>P3</t>
        </is>
      </c>
      <c r="I83" s="8" t="inlineStr">
        <is>
          <t>active-recovery-day-workout</t>
        </is>
      </c>
      <c r="J83" s="8" t="inlineStr">
        <is>
          <t>Health &amp; Wellness, Mobility</t>
        </is>
      </c>
      <c r="K83" s="8" t="inlineStr">
        <is>
          <t>To write</t>
        </is>
      </c>
      <c r="L83" s="8" t="inlineStr">
        <is>
          <t>General recovery only; no injury-treatment claims.</t>
        </is>
      </c>
    </row>
    <row r="84" ht="15" customHeight="1" s="6">
      <c r="A84" s="8" t="n">
        <v>97</v>
      </c>
      <c r="B84" s="8" t="inlineStr">
        <is>
          <t>Body Part Specific</t>
        </is>
      </c>
      <c r="C84" s="8" t="inlineStr">
        <is>
          <t>Chest Workout Plan (4-Week)</t>
        </is>
      </c>
      <c r="D84" s="8" t="inlineStr">
        <is>
          <t>chest workout</t>
        </is>
      </c>
      <c r="E84" s="8" t="inlineStr">
        <is>
          <t>135K</t>
        </is>
      </c>
      <c r="F84" s="8" t="inlineStr">
        <is>
          <t>Yes</t>
        </is>
      </c>
      <c r="G84" s="8" t="inlineStr">
        <is>
          <t>Low-Med</t>
        </is>
      </c>
      <c r="H84" s="8" t="inlineStr">
        <is>
          <t>P1</t>
        </is>
      </c>
      <c r="I84" s="8" t="inlineStr">
        <is>
          <t>chest-workout</t>
        </is>
      </c>
      <c r="J84" s="8" t="inlineStr">
        <is>
          <t>Bench Press guides (all 4)</t>
        </is>
      </c>
      <c r="K84" s="8" t="inlineStr">
        <is>
          <t>Written (Batch 2)</t>
        </is>
      </c>
      <c r="L84" s="8" t="n"/>
    </row>
    <row r="85" ht="15" customHeight="1" s="6">
      <c r="A85" s="8" t="n">
        <v>98</v>
      </c>
      <c r="B85" s="8" t="inlineStr">
        <is>
          <t>Body Part Specific</t>
        </is>
      </c>
      <c r="C85" s="8" t="inlineStr">
        <is>
          <t>Back Workout Plan (4-Week)</t>
        </is>
      </c>
      <c r="D85" s="8" t="inlineStr">
        <is>
          <t>back workout plan</t>
        </is>
      </c>
      <c r="E85" s="8" t="inlineStr">
        <is>
          <t>2K+</t>
        </is>
      </c>
      <c r="F85" s="8" t="inlineStr">
        <is>
          <t>No (estimate)</t>
        </is>
      </c>
      <c r="G85" s="8" t="inlineStr">
        <is>
          <t>Low</t>
        </is>
      </c>
      <c r="H85" s="8" t="inlineStr">
        <is>
          <t>P2</t>
        </is>
      </c>
      <c r="I85" s="8" t="inlineStr">
        <is>
          <t>back-workout-plan</t>
        </is>
      </c>
      <c r="J85" s="8" t="inlineStr">
        <is>
          <t>Deadlift guides, Cable exercises</t>
        </is>
      </c>
      <c r="K85" s="8" t="inlineStr">
        <is>
          <t>To write</t>
        </is>
      </c>
      <c r="L85" s="8" t="n"/>
    </row>
    <row r="86" ht="15" customHeight="1" s="6">
      <c r="A86" s="8" t="n">
        <v>99</v>
      </c>
      <c r="B86" s="8" t="inlineStr">
        <is>
          <t>Body Part Specific</t>
        </is>
      </c>
      <c r="C86" s="8" t="inlineStr">
        <is>
          <t>Shoulder Workout Plan (4-Week)</t>
        </is>
      </c>
      <c r="D86" s="8" t="inlineStr">
        <is>
          <t>shoulder workout plan</t>
        </is>
      </c>
      <c r="E86" s="8" t="inlineStr">
        <is>
          <t>2K+</t>
        </is>
      </c>
      <c r="F86" s="8" t="inlineStr">
        <is>
          <t>No (estimate)</t>
        </is>
      </c>
      <c r="G86" s="8" t="inlineStr">
        <is>
          <t>Low</t>
        </is>
      </c>
      <c r="H86" s="8" t="inlineStr">
        <is>
          <t>P2</t>
        </is>
      </c>
      <c r="I86" s="8" t="inlineStr">
        <is>
          <t>shoulder-workout-plan</t>
        </is>
      </c>
      <c r="J86" s="8" t="inlineStr">
        <is>
          <t>Bench Press (overhead), Equipment</t>
        </is>
      </c>
      <c r="K86" s="8" t="inlineStr">
        <is>
          <t>To write</t>
        </is>
      </c>
      <c r="L86" s="8" t="n"/>
    </row>
    <row r="87" ht="15" customHeight="1" s="6">
      <c r="A87" s="8" t="n">
        <v>100</v>
      </c>
      <c r="B87" s="8" t="inlineStr">
        <is>
          <t>Body Part Specific</t>
        </is>
      </c>
      <c r="C87" s="8" t="inlineStr">
        <is>
          <t>Arm Workout Plan (Biceps &amp; Triceps)</t>
        </is>
      </c>
      <c r="D87" s="8" t="inlineStr">
        <is>
          <t>arm workout</t>
        </is>
      </c>
      <c r="E87" s="8" t="inlineStr">
        <is>
          <t>74K</t>
        </is>
      </c>
      <c r="F87" s="8" t="inlineStr">
        <is>
          <t>Yes</t>
        </is>
      </c>
      <c r="G87" s="8" t="inlineStr">
        <is>
          <t>Low</t>
        </is>
      </c>
      <c r="H87" s="8" t="inlineStr">
        <is>
          <t>P1</t>
        </is>
      </c>
      <c r="I87" s="8" t="inlineStr">
        <is>
          <t>arm-workout</t>
        </is>
      </c>
      <c r="J87" s="8" t="inlineStr">
        <is>
          <t>Cable exercises, Equipment guides</t>
        </is>
      </c>
      <c r="K87" s="8" t="inlineStr">
        <is>
          <t>Written (Batch 2)</t>
        </is>
      </c>
      <c r="L87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" min="1" max="1"/>
    <col width="26" customWidth="1" style="5" min="2" max="2"/>
    <col width="40" customWidth="1" style="5" min="3" max="3"/>
    <col width="32" customWidth="1" style="5" min="4" max="4"/>
    <col width="12" customWidth="1" style="5" min="5" max="5"/>
    <col width="26" customWidth="1" style="5" min="6" max="6"/>
    <col width="70" customWidth="1" style="5" min="7" max="7"/>
  </cols>
  <sheetData>
    <row r="1" ht="30" customHeight="1" s="6">
      <c r="A1" s="7" t="inlineStr">
        <is>
          <t>#</t>
        </is>
      </c>
      <c r="B1" s="7" t="inlineStr">
        <is>
          <t>Category</t>
        </is>
      </c>
      <c r="C1" s="7" t="inlineStr">
        <is>
          <t>Plan Name</t>
        </is>
      </c>
      <c r="D1" s="7" t="inlineStr">
        <is>
          <t>Target Keyword</t>
        </is>
      </c>
      <c r="E1" s="7" t="inlineStr">
        <is>
          <t>Volume (roadmap)</t>
        </is>
      </c>
      <c r="F1" s="7" t="inlineStr">
        <is>
          <t>Risk Type</t>
        </is>
      </c>
      <c r="G1" s="7" t="inlineStr">
        <is>
          <t>Why Removed</t>
        </is>
      </c>
    </row>
    <row r="2" ht="23.85" customHeight="1" s="6">
      <c r="A2" s="8" t="n">
        <v>19</v>
      </c>
      <c r="B2" s="8" t="inlineStr">
        <is>
          <t>Strength Training</t>
        </is>
      </c>
      <c r="C2" s="8" t="inlineStr">
        <is>
          <t>Strength Training for Over 40</t>
        </is>
      </c>
      <c r="D2" s="8" t="inlineStr">
        <is>
          <t>strength training over 40</t>
        </is>
      </c>
      <c r="E2" s="8" t="inlineStr">
        <is>
          <t>2K+</t>
        </is>
      </c>
      <c r="F2" s="8" t="inlineStr">
        <is>
          <t>Age-specific population</t>
        </is>
      </c>
      <c r="G2" s="8" t="inlineStr">
        <is>
          <t>Over-40 content leads into joint health, hormones and chronic conditions — medical territory.</t>
        </is>
      </c>
    </row>
    <row r="3" ht="23.85" customHeight="1" s="6">
      <c r="A3" s="8" t="n">
        <v>23</v>
      </c>
      <c r="B3" s="8" t="inlineStr">
        <is>
          <t>Fat Loss &amp; Weight Loss</t>
        </is>
      </c>
      <c r="C3" s="8" t="inlineStr">
        <is>
          <t>12-Week Fat Loss Workout Plan</t>
        </is>
      </c>
      <c r="D3" s="8" t="inlineStr">
        <is>
          <t>fat loss workout plan</t>
        </is>
      </c>
      <c r="E3" s="8" t="inlineStr">
        <is>
          <t>5K+</t>
        </is>
      </c>
      <c r="F3" s="8" t="inlineStr">
        <is>
          <t>Weight-loss outcome</t>
        </is>
      </c>
      <c r="G3" s="8" t="inlineStr">
        <is>
          <t>Core promise is fat loss over a fixed timeline; needs calorie-deficit prescriptions for the general public.</t>
        </is>
      </c>
    </row>
    <row r="4" ht="23.85" customHeight="1" s="6">
      <c r="A4" s="8" t="n">
        <v>24</v>
      </c>
      <c r="B4" s="8" t="inlineStr">
        <is>
          <t>Fat Loss &amp; Weight Loss</t>
        </is>
      </c>
      <c r="C4" s="8" t="inlineStr">
        <is>
          <t>Gym Workout Plan for Weight Loss</t>
        </is>
      </c>
      <c r="D4" s="8" t="inlineStr">
        <is>
          <t>gym workout plan for weight loss</t>
        </is>
      </c>
      <c r="E4" s="8" t="inlineStr">
        <is>
          <t>3K+</t>
        </is>
      </c>
      <c r="F4" s="8" t="inlineStr">
        <is>
          <t>Weight-loss outcome</t>
        </is>
      </c>
      <c r="G4" s="8" t="inlineStr">
        <is>
          <t>Framed around weight loss rather than training; diet and deficit advice drives the result.</t>
        </is>
      </c>
    </row>
    <row r="5" ht="23.85" customHeight="1" s="6">
      <c r="A5" s="8" t="n">
        <v>25</v>
      </c>
      <c r="B5" s="8" t="inlineStr">
        <is>
          <t>Fat Loss &amp; Weight Loss</t>
        </is>
      </c>
      <c r="C5" s="8" t="inlineStr">
        <is>
          <t>Fat Burning Workout Plan at Home</t>
        </is>
      </c>
      <c r="D5" s="8" t="inlineStr">
        <is>
          <t>fat burning workout</t>
        </is>
      </c>
      <c r="E5" s="8" t="inlineStr">
        <is>
          <t>4.4K</t>
        </is>
      </c>
      <c r="F5" s="8" t="inlineStr">
        <is>
          <t>Weight-loss outcome</t>
        </is>
      </c>
      <c r="G5" s="8" t="inlineStr">
        <is>
          <t>'Fat burning' framing invites spot-reduction and calorie-burn claims that are easy to overstate.</t>
        </is>
      </c>
    </row>
    <row r="6" ht="15" customHeight="1" s="6">
      <c r="A6" s="8" t="n">
        <v>26</v>
      </c>
      <c r="B6" s="8" t="inlineStr">
        <is>
          <t>Fat Loss &amp; Weight Loss</t>
        </is>
      </c>
      <c r="C6" s="8" t="inlineStr">
        <is>
          <t>Strength Training for Fat Loss (4-Day)</t>
        </is>
      </c>
      <c r="D6" s="8" t="inlineStr">
        <is>
          <t>strength training for fat loss</t>
        </is>
      </c>
      <c r="E6" s="8" t="inlineStr">
        <is>
          <t>2K+</t>
        </is>
      </c>
      <c r="F6" s="8" t="inlineStr">
        <is>
          <t>Weight-loss outcome</t>
        </is>
      </c>
      <c r="G6" s="8" t="inlineStr">
        <is>
          <t>Main promise is fat loss; depends on calorie-deficit guidance.</t>
        </is>
      </c>
    </row>
    <row r="7" ht="15" customHeight="1" s="6">
      <c r="A7" s="8" t="n">
        <v>28</v>
      </c>
      <c r="B7" s="8" t="inlineStr">
        <is>
          <t>Fat Loss &amp; Weight Loss</t>
        </is>
      </c>
      <c r="C7" s="8" t="inlineStr">
        <is>
          <t>Walking and Strength Plan for Weight Loss</t>
        </is>
      </c>
      <c r="D7" s="8" t="inlineStr">
        <is>
          <t>walking workout plan for weight loss</t>
        </is>
      </c>
      <c r="E7" s="8" t="inlineStr">
        <is>
          <t>2K+</t>
        </is>
      </c>
      <c r="F7" s="8" t="inlineStr">
        <is>
          <t>Weight-loss outcome</t>
        </is>
      </c>
      <c r="G7" s="8" t="inlineStr">
        <is>
          <t>Weight-loss promise for a broad, often untrained or overweight audience.</t>
        </is>
      </c>
    </row>
    <row r="8" ht="23.85" customHeight="1" s="6">
      <c r="A8" s="8" t="n">
        <v>29</v>
      </c>
      <c r="B8" s="8" t="inlineStr">
        <is>
          <t>Fat Loss &amp; Weight Loss</t>
        </is>
      </c>
      <c r="C8" s="8" t="inlineStr">
        <is>
          <t>Body Recomposition Workout Plan</t>
        </is>
      </c>
      <c r="D8" s="8" t="inlineStr">
        <is>
          <t>body recomposition</t>
        </is>
      </c>
      <c r="E8" s="8" t="inlineStr">
        <is>
          <t>27.1K</t>
        </is>
      </c>
      <c r="F8" s="8" t="inlineStr">
        <is>
          <t>Weight-loss outcome</t>
        </is>
      </c>
      <c r="G8" s="8" t="inlineStr">
        <is>
          <t>Body recomposition is diet-driven; results claims depend on nutrition and individual factors.</t>
        </is>
      </c>
    </row>
    <row r="9" ht="23.85" customHeight="1" s="6">
      <c r="A9" s="8" t="n">
        <v>30</v>
      </c>
      <c r="B9" s="8" t="inlineStr">
        <is>
          <t>Fat Loss &amp; Weight Loss</t>
        </is>
      </c>
      <c r="C9" s="8" t="inlineStr">
        <is>
          <t>Low Impact Weight Loss Workout Plan</t>
        </is>
      </c>
      <c r="D9" s="8" t="inlineStr">
        <is>
          <t>low impact weight loss workout</t>
        </is>
      </c>
      <c r="E9" s="8" t="inlineStr">
        <is>
          <t>1.5K+</t>
        </is>
      </c>
      <c r="F9" s="8" t="inlineStr">
        <is>
          <t>Weight-loss + health population</t>
        </is>
      </c>
      <c r="G9" s="8" t="inlineStr">
        <is>
          <t>Targets people needing low impact (joint issues, high body weight) with weight-loss promises.</t>
        </is>
      </c>
    </row>
    <row r="10" ht="23.85" customHeight="1" s="6">
      <c r="A10" s="8" t="n">
        <v>32</v>
      </c>
      <c r="B10" s="8" t="inlineStr">
        <is>
          <t>Fat Loss &amp; Weight Loss</t>
        </is>
      </c>
      <c r="C10" s="8" t="inlineStr">
        <is>
          <t>30-Day Weight Loss Challenge Workout</t>
        </is>
      </c>
      <c r="D10" s="8" t="inlineStr">
        <is>
          <t>30 day weight loss workout plan</t>
        </is>
      </c>
      <c r="E10" s="8" t="inlineStr">
        <is>
          <t>2K+</t>
        </is>
      </c>
      <c r="F10" s="8" t="inlineStr">
        <is>
          <t>Rapid-result promise</t>
        </is>
      </c>
      <c r="G10" s="8" t="inlineStr">
        <is>
          <t>30-day weight-loss challenges set unrealistic expectations and encourage aggressive dieting.</t>
        </is>
      </c>
    </row>
    <row r="11" ht="15" customHeight="1" s="6">
      <c r="A11" s="8" t="n">
        <v>58</v>
      </c>
      <c r="B11" s="8" t="inlineStr">
        <is>
          <t>Legs &amp; Glutes</t>
        </is>
      </c>
      <c r="C11" s="8" t="inlineStr">
        <is>
          <t>Knee-Friendly Leg Workout Plan</t>
        </is>
      </c>
      <c r="D11" s="8" t="inlineStr">
        <is>
          <t>knee friendly leg workout</t>
        </is>
      </c>
      <c r="E11" s="8" t="inlineStr">
        <is>
          <t>1K+</t>
        </is>
      </c>
      <c r="F11" s="8" t="inlineStr">
        <is>
          <t>Pain / injury framing</t>
        </is>
      </c>
      <c r="G11" s="8" t="inlineStr">
        <is>
          <t>'Knee-friendly' implies managing knee pain or injury — rehab advice needs a clinician.</t>
        </is>
      </c>
    </row>
    <row r="12" ht="23.85" customHeight="1" s="6">
      <c r="A12" s="8" t="n">
        <v>61</v>
      </c>
      <c r="B12" s="8" t="inlineStr">
        <is>
          <t>Core &amp; Abs</t>
        </is>
      </c>
      <c r="C12" s="8" t="inlineStr">
        <is>
          <t>6-Week Ab Workout Plan (Six Pack)</t>
        </is>
      </c>
      <c r="D12" s="8" t="inlineStr">
        <is>
          <t>ab workout</t>
        </is>
      </c>
      <c r="E12" s="8" t="inlineStr">
        <is>
          <t>165K</t>
        </is>
      </c>
      <c r="F12" s="8" t="inlineStr">
        <is>
          <t>Rapid-result promise</t>
        </is>
      </c>
      <c r="G12" s="8" t="inlineStr">
        <is>
          <t>'Six pack in 6 weeks' depends on body fat, not ab training; the promise can't be kept honestly.</t>
        </is>
      </c>
    </row>
    <row r="13" ht="15" customHeight="1" s="6">
      <c r="A13" s="8" t="n">
        <v>66</v>
      </c>
      <c r="B13" s="8" t="inlineStr">
        <is>
          <t>Core &amp; Abs</t>
        </is>
      </c>
      <c r="C13" s="8" t="inlineStr">
        <is>
          <t>Lower Back Friendly Core Workout</t>
        </is>
      </c>
      <c r="D13" s="8" t="inlineStr">
        <is>
          <t>lower back friendly core workout</t>
        </is>
      </c>
      <c r="E13" s="8" t="inlineStr">
        <is>
          <t>1K+</t>
        </is>
      </c>
      <c r="F13" s="8" t="inlineStr">
        <is>
          <t>Pain / injury framing</t>
        </is>
      </c>
      <c r="G13" s="8" t="inlineStr">
        <is>
          <t>'Lower back friendly' implies managing back pain — medical/rehab territory.</t>
        </is>
      </c>
    </row>
    <row r="14" ht="15" customHeight="1" s="6">
      <c r="A14" s="8" t="n">
        <v>90</v>
      </c>
      <c r="B14" s="8" t="inlineStr">
        <is>
          <t>Beginner Specific</t>
        </is>
      </c>
      <c r="C14" s="8" t="inlineStr">
        <is>
          <t>Workout Plan for Seniors / Over 50</t>
        </is>
      </c>
      <c r="D14" s="8" t="inlineStr">
        <is>
          <t>workout plan for seniors</t>
        </is>
      </c>
      <c r="E14" s="8" t="inlineStr">
        <is>
          <t>2K+</t>
        </is>
      </c>
      <c r="F14" s="8" t="inlineStr">
        <is>
          <t>Vulnerable population</t>
        </is>
      </c>
      <c r="G14" s="8" t="inlineStr">
        <is>
          <t>Seniors often have medical conditions, fall risk and medications to consider.</t>
        </is>
      </c>
    </row>
    <row r="15" ht="15" customHeight="1" s="6">
      <c r="A15" s="8" t="n">
        <v>91</v>
      </c>
      <c r="B15" s="8" t="inlineStr">
        <is>
          <t>Beginner Specific</t>
        </is>
      </c>
      <c r="C15" s="8" t="inlineStr">
        <is>
          <t>Workout Plan for Teenagers</t>
        </is>
      </c>
      <c r="D15" s="8" t="inlineStr">
        <is>
          <t>workout plan for teenagers</t>
        </is>
      </c>
      <c r="E15" s="8" t="inlineStr">
        <is>
          <t>1.5K+</t>
        </is>
      </c>
      <c r="F15" s="8" t="inlineStr">
        <is>
          <t>Vulnerable population (minors)</t>
        </is>
      </c>
      <c r="G15" s="8" t="inlineStr">
        <is>
          <t>Training advice for under-18s needs paediatric guidance and parental context.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5" min="1" max="1"/>
    <col width="10" customWidth="1" style="5" min="2" max="2"/>
  </cols>
  <sheetData>
    <row r="1" ht="30" customHeight="1" s="6">
      <c r="A1" s="7" t="inlineStr">
        <is>
          <t>Item</t>
        </is>
      </c>
      <c r="B1" s="7" t="inlineStr">
        <is>
          <t>Count</t>
        </is>
      </c>
    </row>
    <row r="2" ht="15" customHeight="1" s="6">
      <c r="A2" s="8" t="inlineStr">
        <is>
          <t>Total plans in original roadmap</t>
        </is>
      </c>
      <c r="B2" s="8">
        <f>COUNTA('Remaining Plans'!A2:A1000)+COUNTA('Removed (YMYL Risk)'!A2:A1000)</f>
        <v/>
      </c>
    </row>
    <row r="3" ht="15" customHeight="1" s="6">
      <c r="A3" s="8" t="inlineStr">
        <is>
          <t>Removed for YMYL risk</t>
        </is>
      </c>
      <c r="B3" s="8">
        <f>COUNTA('Removed (YMYL Risk)'!A2:A1000)</f>
        <v/>
      </c>
    </row>
    <row r="4" ht="15" customHeight="1" s="6">
      <c r="A4" s="8" t="inlineStr">
        <is>
          <t>Remaining plans</t>
        </is>
      </c>
      <c r="B4" s="8">
        <f>COUNTA('Remaining Plans'!A2:A1000)</f>
        <v/>
      </c>
    </row>
    <row r="5" ht="15" customHeight="1" s="6">
      <c r="A5" s="8" t="inlineStr">
        <is>
          <t>Remaining — already written (Batch 1)</t>
        </is>
      </c>
      <c r="B5" s="8">
        <f>COUNTIF('Remaining Plans'!K2:K1000,"Written (Batch 1)")</f>
        <v/>
      </c>
    </row>
    <row r="6" ht="15" customHeight="1" s="6">
      <c r="A6" s="8" t="inlineStr">
        <is>
          <t>Remaining — to write</t>
        </is>
      </c>
      <c r="B6" s="8">
        <f>COUNTIF('Remaining Plans'!K2:K1000,"To write")</f>
        <v/>
      </c>
    </row>
    <row r="7" ht="15" customHeight="1" s="6">
      <c r="A7" s="8" t="inlineStr">
        <is>
          <t>To write — Priority P1</t>
        </is>
      </c>
      <c r="B7" s="8">
        <f>COUNTIFS('Remaining Plans'!K2:K1000,"To write",'Remaining Plans'!H2:H1000,"P1")</f>
        <v/>
      </c>
    </row>
    <row r="8" ht="15" customHeight="1" s="6">
      <c r="A8" s="8" t="inlineStr">
        <is>
          <t>To write — Priority P2</t>
        </is>
      </c>
      <c r="B8" s="8">
        <f>COUNTIFS('Remaining Plans'!K2:K1000,"To write",'Remaining Plans'!H2:H1000,"P2")</f>
        <v/>
      </c>
    </row>
    <row r="9" ht="15" customHeight="1" s="6">
      <c r="A9" s="8" t="inlineStr">
        <is>
          <t>To write — Priority P3</t>
        </is>
      </c>
      <c r="B9" s="8">
        <f>COUNTIFS('Remaining Plans'!K2:K1000,"To write",'Remaining Plans'!H2:H1000,"P3")</f>
        <v/>
      </c>
    </row>
    <row r="10" ht="15" customHeight="1" s="6">
      <c r="A10" s="8" t="n"/>
      <c r="B10" s="8" t="n"/>
    </row>
    <row r="11" ht="15" customHeight="1" s="6">
      <c r="A11" s="10" t="inlineStr">
        <is>
          <t>Remaining plans by category</t>
        </is>
      </c>
      <c r="B11" s="10" t="inlineStr">
        <is>
          <t>Count</t>
        </is>
      </c>
    </row>
    <row r="12" ht="15" customHeight="1" s="6">
      <c r="A12" s="8" t="inlineStr">
        <is>
          <t>Muscle Building &amp; Hypertrophy</t>
        </is>
      </c>
      <c r="B12" s="8">
        <f>COUNTIF('Remaining Plans'!B2:B1000,"Muscle Building &amp; Hypertrophy")</f>
        <v/>
      </c>
    </row>
    <row r="13" ht="15" customHeight="1" s="6">
      <c r="A13" s="8" t="inlineStr">
        <is>
          <t>Strength Training</t>
        </is>
      </c>
      <c r="B13" s="8">
        <f>COUNTIF('Remaining Plans'!B2:B1000,"Strength Training")</f>
        <v/>
      </c>
    </row>
    <row r="14" ht="15" customHeight="1" s="6">
      <c r="A14" s="8" t="inlineStr">
        <is>
          <t>Fat Loss &amp; Weight Loss</t>
        </is>
      </c>
      <c r="B14" s="8">
        <f>COUNTIF('Remaining Plans'!B2:B1000,"Fat Loss &amp; Weight Loss")</f>
        <v/>
      </c>
    </row>
    <row r="15" ht="15" customHeight="1" s="6">
      <c r="A15" s="8" t="inlineStr">
        <is>
          <t>Home Workouts</t>
        </is>
      </c>
      <c r="B15" s="8">
        <f>COUNTIF('Remaining Plans'!B2:B1000,"Home Workouts")</f>
        <v/>
      </c>
    </row>
    <row r="16" ht="15" customHeight="1" s="6">
      <c r="A16" s="8" t="inlineStr">
        <is>
          <t>HIIT &amp; Cardio</t>
        </is>
      </c>
      <c r="B16" s="8">
        <f>COUNTIF('Remaining Plans'!B2:B1000,"HIIT &amp; Cardio")</f>
        <v/>
      </c>
    </row>
    <row r="17" ht="15" customHeight="1" s="6">
      <c r="A17" s="8" t="inlineStr">
        <is>
          <t>Legs &amp; Glutes</t>
        </is>
      </c>
      <c r="B17" s="8">
        <f>COUNTIF('Remaining Plans'!B2:B1000,"Legs &amp; Glutes")</f>
        <v/>
      </c>
    </row>
    <row r="18" ht="15" customHeight="1" s="6">
      <c r="A18" s="8" t="inlineStr">
        <is>
          <t>Core &amp; Abs</t>
        </is>
      </c>
      <c r="B18" s="8">
        <f>COUNTIF('Remaining Plans'!B2:B1000,"Core &amp; Abs")</f>
        <v/>
      </c>
    </row>
    <row r="19" ht="15" customHeight="1" s="6">
      <c r="A19" s="8" t="inlineStr">
        <is>
          <t>Calisthenics</t>
        </is>
      </c>
      <c r="B19" s="8">
        <f>COUNTIF('Remaining Plans'!B2:B1000,"Calisthenics")</f>
        <v/>
      </c>
    </row>
    <row r="20" ht="15" customHeight="1" s="6">
      <c r="A20" s="8" t="inlineStr">
        <is>
          <t>Quick Workouts</t>
        </is>
      </c>
      <c r="B20" s="8">
        <f>COUNTIF('Remaining Plans'!B2:B1000,"Quick Workouts")</f>
        <v/>
      </c>
    </row>
    <row r="21" ht="15" customHeight="1" s="6">
      <c r="A21" s="8" t="inlineStr">
        <is>
          <t>Beginner Specific</t>
        </is>
      </c>
      <c r="B21" s="8">
        <f>COUNTIF('Remaining Plans'!B2:B1000,"Beginner Specific")</f>
        <v/>
      </c>
    </row>
    <row r="22" ht="15" customHeight="1" s="6">
      <c r="A22" s="8" t="inlineStr">
        <is>
          <t>Warm Up, Mobility &amp; Recovery</t>
        </is>
      </c>
      <c r="B22" s="8">
        <f>COUNTIF('Remaining Plans'!B2:B1000,"Warm Up, Mobility &amp; Recovery")</f>
        <v/>
      </c>
    </row>
    <row r="23" ht="15" customHeight="1" s="6">
      <c r="A23" s="8" t="inlineStr">
        <is>
          <t>Body Part Specific</t>
        </is>
      </c>
      <c r="B23" s="8">
        <f>COUNTIF('Remaining Plans'!B2:B1000,"Body Part Specific")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5" min="1" max="1"/>
    <col width="90" customWidth="1" style="5" min="2" max="2"/>
    <col width="26" customWidth="1" style="5" min="3" max="3"/>
  </cols>
  <sheetData>
    <row r="1" ht="30" customHeight="1" s="6">
      <c r="A1" s="7" t="inlineStr">
        <is>
          <t>Rule</t>
        </is>
      </c>
      <c r="B1" s="7" t="inlineStr">
        <is>
          <t>What it covers</t>
        </is>
      </c>
      <c r="C1" s="7" t="inlineStr">
        <is>
          <t>Plans removed</t>
        </is>
      </c>
    </row>
    <row r="2" ht="15" customHeight="1" s="6">
      <c r="A2" s="8" t="inlineStr">
        <is>
          <t>Pain / injury framing</t>
        </is>
      </c>
      <c r="B2" s="8" t="inlineStr">
        <is>
          <t>Titles that imply managing pain or injury (knee, lower back). Rehab advice needs a clinician.</t>
        </is>
      </c>
      <c r="C2" s="8" t="inlineStr">
        <is>
          <t>58, 66</t>
        </is>
      </c>
    </row>
    <row r="3" ht="15" customHeight="1" s="6">
      <c r="A3" s="8" t="inlineStr">
        <is>
          <t>Vulnerable or age-specific populations</t>
        </is>
      </c>
      <c r="B3" s="8" t="inlineStr">
        <is>
          <t>Teenagers (minors), seniors/over 50, over 40 — medical conditions, medications, fall risk.</t>
        </is>
      </c>
      <c r="C3" s="8" t="inlineStr">
        <is>
          <t>19, 90, 91</t>
        </is>
      </c>
    </row>
    <row r="4" ht="23.85" customHeight="1" s="6">
      <c r="A4" s="8" t="inlineStr">
        <is>
          <t>Weight-loss outcome as the main promise</t>
        </is>
      </c>
      <c r="B4" s="8" t="inlineStr">
        <is>
          <t>Plans whose result depends on calorie-deficit and diet prescriptions for the general public.</t>
        </is>
      </c>
      <c r="C4" s="8" t="inlineStr">
        <is>
          <t>23, 24, 25, 26, 28, 29, 30</t>
        </is>
      </c>
    </row>
    <row r="5" ht="15" customHeight="1" s="6">
      <c r="A5" s="8" t="inlineStr">
        <is>
          <t>Rapid-result promises</t>
        </is>
      </c>
      <c r="B5" s="8" t="inlineStr">
        <is>
          <t>Fixed-timeline transformations that can't be promised honestly (30-day weight loss, six pack in 6 weeks).</t>
        </is>
      </c>
      <c r="C5" s="8" t="inlineStr">
        <is>
          <t>32, 61</t>
        </is>
      </c>
    </row>
    <row r="6" ht="23.85" customHeight="1" s="6">
      <c r="A6" s="8" t="inlineStr">
        <is>
          <t>Kept with care (see YMYL Notes column)</t>
        </is>
      </c>
      <c r="B6" s="8" t="inlineStr">
        <is>
          <t>Normal training plans for healthy adults; some need a medical-clearance line, safe progressions or dietitian review of nutrition parts.</t>
        </is>
      </c>
      <c r="C6" s="8" t="inlineStr">
        <is>
          <t>—</t>
        </is>
      </c>
    </row>
    <row r="7" ht="23.85" customHeight="1" s="6">
      <c r="A7" s="8" t="inlineStr">
        <is>
          <t>Source of plan data</t>
        </is>
      </c>
      <c r="B7" s="8" t="inlineStr">
        <is>
          <t>Plan names, keywords, volumes, KD, priority and internal links copied from the user's roadmap (roadmap.html, 23 Oct 2026). Volumes marked 'No (estimate)' were not verified in the roadmap.</t>
        </is>
      </c>
      <c r="C7" s="8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2026-10-28T22:55:16Z</dcterms:created>
  <dcterms:modified xmlns:dcterms="http://purl.org/dc/terms/" xmlns:xsi="http://www.w3.org/2001/XMLSchema-instance" xsi:type="dcterms:W3CDTF">2026-10-30T21:08:23Z</dcterms:modified>
  <cp:revision>0</cp:revision>
</cp:coreProperties>
</file>