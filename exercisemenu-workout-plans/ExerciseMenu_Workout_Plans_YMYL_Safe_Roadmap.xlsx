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maining Plans" sheetId="1" state="visible" r:id="rId3"/>
    <sheet name="Removed (YMYL Risk)" sheetId="2" state="visible" r:id="rId4"/>
    <sheet name="Summary" sheetId="3" state="visible" r:id="rId5"/>
    <sheet name="YMYL Criteri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<sst xmlns="http://schemas.openxmlformats.org/spreadsheetml/2006/main" count="1029" uniqueCount="497">
  <si>
    <t xml:space="preserve">#</t>
  </si>
  <si>
    <t xml:space="preserve">Category</t>
  </si>
  <si>
    <t xml:space="preserve">Plan Name</t>
  </si>
  <si>
    <t xml:space="preserve">Target Keyword</t>
  </si>
  <si>
    <t xml:space="preserve">Volume (roadmap)</t>
  </si>
  <si>
    <t xml:space="preserve">Volume Verified?</t>
  </si>
  <si>
    <t xml:space="preserve">KD</t>
  </si>
  <si>
    <t xml:space="preserve">Priority</t>
  </si>
  <si>
    <t xml:space="preserve">Suggested Slug (/workout-plans/...)</t>
  </si>
  <si>
    <t xml:space="preserve">Internal Links (roadmap)</t>
  </si>
  <si>
    <t xml:space="preserve">Status</t>
  </si>
  <si>
    <t xml:space="preserve">YMYL Notes</t>
  </si>
  <si>
    <t xml:space="preserve">Muscle Building &amp; Hypertrophy</t>
  </si>
  <si>
    <t xml:space="preserve">Push Pull Legs Workout Plan (6-Day PPL)</t>
  </si>
  <si>
    <t xml:space="preserve">push pull legs workout plan</t>
  </si>
  <si>
    <t xml:space="preserve">12.1K</t>
  </si>
  <si>
    <t xml:space="preserve">Yes</t>
  </si>
  <si>
    <t xml:space="preserve">Low-Med</t>
  </si>
  <si>
    <t xml:space="preserve">P1</t>
  </si>
  <si>
    <t xml:space="preserve">push-pull-legs</t>
  </si>
  <si>
    <t xml:space="preserve">Bench, Squat, Deadlift, Reps guides</t>
  </si>
  <si>
    <t xml:space="preserve">Written (Batch 1)</t>
  </si>
  <si>
    <t xml:space="preserve">Full Body Workout Plan for Beginners (3-Day)</t>
  </si>
  <si>
    <t xml:space="preserve">gym workout plan (beginner intent)</t>
  </si>
  <si>
    <t xml:space="preserve">40.5K</t>
  </si>
  <si>
    <t xml:space="preserve">12</t>
  </si>
  <si>
    <t xml:space="preserve">full-body-workout-plan</t>
  </si>
  <si>
    <t xml:space="preserve">All compound lift guides, Equipment</t>
  </si>
  <si>
    <t xml:space="preserve">4-Day Upper Lower Split Workout</t>
  </si>
  <si>
    <t xml:space="preserve">upper lower split</t>
  </si>
  <si>
    <t xml:space="preserve">9.9K</t>
  </si>
  <si>
    <t xml:space="preserve">upper-lower-split</t>
  </si>
  <si>
    <t xml:space="preserve">Bench, Squat, Deadlift, Cable guides</t>
  </si>
  <si>
    <t xml:space="preserve">5×5 Strength &amp; Muscle Program</t>
  </si>
  <si>
    <t xml:space="preserve">5x5 workout</t>
  </si>
  <si>
    <t xml:space="preserve">6.6K</t>
  </si>
  <si>
    <t xml:space="preserve">5x5-workout</t>
  </si>
  <si>
    <t xml:space="preserve">Squat, Bench, Deadlift, Reps guides</t>
  </si>
  <si>
    <t xml:space="preserve">Bro Split 5-Day Workout Plan</t>
  </si>
  <si>
    <t xml:space="preserve">bro split workout plan</t>
  </si>
  <si>
    <t xml:space="preserve">Low</t>
  </si>
  <si>
    <t xml:space="preserve">bro-split</t>
  </si>
  <si>
    <t xml:space="preserve">All body-part guides</t>
  </si>
  <si>
    <t xml:space="preserve">4-Day Workout Split for Muscle Building</t>
  </si>
  <si>
    <t xml:space="preserve">4 day workout split</t>
  </si>
  <si>
    <t xml:space="preserve">Med</t>
  </si>
  <si>
    <t xml:space="preserve">4-day-workout-split</t>
  </si>
  <si>
    <t xml:space="preserve">Reps &amp; Sets, Advanced Techniques</t>
  </si>
  <si>
    <t xml:space="preserve">3-Day Full Body Workout (Intermediate)</t>
  </si>
  <si>
    <t xml:space="preserve">3 day full body workout</t>
  </si>
  <si>
    <t xml:space="preserve">1.9K</t>
  </si>
  <si>
    <t xml:space="preserve">P2</t>
  </si>
  <si>
    <t xml:space="preserve">3-day-full-body-workout</t>
  </si>
  <si>
    <t xml:space="preserve">Compound lift guides, Nutrition</t>
  </si>
  <si>
    <t xml:space="preserve">Lean Bulk Workout Plan (12-Week)</t>
  </si>
  <si>
    <t xml:space="preserve">lean bulk workout plan</t>
  </si>
  <si>
    <t xml:space="preserve">2K+</t>
  </si>
  <si>
    <t xml:space="preserve">No (estimate)</t>
  </si>
  <si>
    <t xml:space="preserve">lean-bulk-workout-plan</t>
  </si>
  <si>
    <t xml:space="preserve">Nutrition guides, Reps &amp; Sets</t>
  </si>
  <si>
    <t xml:space="preserve">Nutrition section: dietitian review (done in batch 1).</t>
  </si>
  <si>
    <t xml:space="preserve">Hypertrophy Training Program (4-Day)</t>
  </si>
  <si>
    <t xml:space="preserve">hypertrophy program</t>
  </si>
  <si>
    <t xml:space="preserve">1K</t>
  </si>
  <si>
    <t xml:space="preserve">hypertrophy-program</t>
  </si>
  <si>
    <t xml:space="preserve">Advanced Techniques, Reps guides</t>
  </si>
  <si>
    <t xml:space="preserve">Workout Plan for Skinny Guys / Hardgainers</t>
  </si>
  <si>
    <t xml:space="preserve">workout plan for skinny guys</t>
  </si>
  <si>
    <t xml:space="preserve">P3</t>
  </si>
  <si>
    <t xml:space="preserve">workout-plan-for-skinny-guys</t>
  </si>
  <si>
    <t xml:space="preserve">Nutrition guides, Compound lifts</t>
  </si>
  <si>
    <t xml:space="preserve">5-Day Workout Split (Gym)</t>
  </si>
  <si>
    <t xml:space="preserve">5 day workout split</t>
  </si>
  <si>
    <t xml:space="preserve">5-day-workout-split</t>
  </si>
  <si>
    <t xml:space="preserve">6-Day PPL Hypertrophy (Advanced)</t>
  </si>
  <si>
    <t xml:space="preserve">ppl hypertrophy program</t>
  </si>
  <si>
    <t xml:space="preserve">1.5K+</t>
  </si>
  <si>
    <t xml:space="preserve">ppl-hypertrophy-program</t>
  </si>
  <si>
    <t xml:space="preserve">Strength Training</t>
  </si>
  <si>
    <t xml:space="preserve">Beginner Strength Training Program (3-Day)</t>
  </si>
  <si>
    <t xml:space="preserve">beginner workout plan</t>
  </si>
  <si>
    <t xml:space="preserve">beginner-strength-training-program</t>
  </si>
  <si>
    <t xml:space="preserve">Squat, Bench, Deadlift, How to Structure</t>
  </si>
  <si>
    <t xml:space="preserve">Strength Training Plan for Women</t>
  </si>
  <si>
    <t xml:space="preserve">strength training for women</t>
  </si>
  <si>
    <t xml:space="preserve">strength-training-for-women</t>
  </si>
  <si>
    <t xml:space="preserve">Squat, Deadlift, Equipment guides</t>
  </si>
  <si>
    <t xml:space="preserve">Bone-health and pregnancy notes kept general with medical-advice disclaimer.</t>
  </si>
  <si>
    <t xml:space="preserve">Powerlifting Program for Beginners</t>
  </si>
  <si>
    <t xml:space="preserve">powerlifting program for beginners</t>
  </si>
  <si>
    <t xml:space="preserve">powerlifting-program-for-beginners</t>
  </si>
  <si>
    <t xml:space="preserve">Squat, Bench, Deadlift (all 14 articles)</t>
  </si>
  <si>
    <t xml:space="preserve">Weightlifting Workout Plan (4-Day)</t>
  </si>
  <si>
    <t xml:space="preserve">weightlifting workout plan</t>
  </si>
  <si>
    <t xml:space="preserve">1.6K</t>
  </si>
  <si>
    <t xml:space="preserve">weightlifting-workout-plan</t>
  </si>
  <si>
    <t xml:space="preserve">Compound lift guides, Reps &amp; Sets</t>
  </si>
  <si>
    <t xml:space="preserve">To write</t>
  </si>
  <si>
    <t xml:space="preserve">Strength and Conditioning Program</t>
  </si>
  <si>
    <t xml:space="preserve">strength and conditioning program</t>
  </si>
  <si>
    <t xml:space="preserve">strength-and-conditioning-program</t>
  </si>
  <si>
    <t xml:space="preserve">Advanced Techniques, HIIT guide</t>
  </si>
  <si>
    <t xml:space="preserve">Barbell Only Workout Plan (3-Day)</t>
  </si>
  <si>
    <t xml:space="preserve">barbell workout plan</t>
  </si>
  <si>
    <t xml:space="preserve">barbell-workout-plan</t>
  </si>
  <si>
    <t xml:space="preserve">Squat, Bench, Deadlift guides</t>
  </si>
  <si>
    <t xml:space="preserve">Strength Endurance Workout Plan (4-Day)</t>
  </si>
  <si>
    <t xml:space="preserve">strength endurance workout</t>
  </si>
  <si>
    <t xml:space="preserve">1K+</t>
  </si>
  <si>
    <t xml:space="preserve">strength-endurance-workout</t>
  </si>
  <si>
    <t xml:space="preserve">Advanced Techniques, Cardio</t>
  </si>
  <si>
    <t xml:space="preserve">Progressive Overload Workout Plan</t>
  </si>
  <si>
    <t xml:space="preserve">progressive overload workout</t>
  </si>
  <si>
    <t xml:space="preserve">progressive-overload-workout</t>
  </si>
  <si>
    <t xml:space="preserve">Reps &amp; Sets guides (all 8)</t>
  </si>
  <si>
    <t xml:space="preserve">Compound Exercises Only Workout Plan</t>
  </si>
  <si>
    <t xml:space="preserve">compound exercise workout plan</t>
  </si>
  <si>
    <t xml:space="preserve">compound-exercise-workout-plan</t>
  </si>
  <si>
    <t xml:space="preserve">Fat Loss &amp; Weight Loss</t>
  </si>
  <si>
    <t xml:space="preserve">Metabolic Conditioning Workout Plan</t>
  </si>
  <si>
    <t xml:space="preserve">metabolic conditioning workout</t>
  </si>
  <si>
    <t xml:space="preserve">metabolic-conditioning-workout</t>
  </si>
  <si>
    <t xml:space="preserve">HIIT guide, Advanced Techniques</t>
  </si>
  <si>
    <t xml:space="preserve">Keep the angle on fitness and conditioning, not weight-loss promises.</t>
  </si>
  <si>
    <t xml:space="preserve">Cardio and Strength Combo Plan (3-Day)</t>
  </si>
  <si>
    <t xml:space="preserve">cardio and strength workout plan</t>
  </si>
  <si>
    <t xml:space="preserve">cardio-and-strength-workout-plan</t>
  </si>
  <si>
    <t xml:space="preserve">HIIT guide, Compound lifts</t>
  </si>
  <si>
    <t xml:space="preserve">Keep the angle on fitness; no weight-loss timelines.</t>
  </si>
  <si>
    <t xml:space="preserve">Home Workouts</t>
  </si>
  <si>
    <t xml:space="preserve">Dumbbell Only Workout Plan (4-Day)</t>
  </si>
  <si>
    <t xml:space="preserve">dumbbell workout plan</t>
  </si>
  <si>
    <t xml:space="preserve">dumbbell-workout-plan</t>
  </si>
  <si>
    <t xml:space="preserve">Existing home articles, Equipment</t>
  </si>
  <si>
    <t xml:space="preserve">Bodyweight Workout Plan (No Equipment)</t>
  </si>
  <si>
    <t xml:space="preserve">bodyweight workout</t>
  </si>
  <si>
    <t xml:space="preserve">22.2K</t>
  </si>
  <si>
    <t xml:space="preserve">bodyweight-workout</t>
  </si>
  <si>
    <t xml:space="preserve">Medicine Ball, 30-min guide</t>
  </si>
  <si>
    <t xml:space="preserve">Resistance Band Workout Plan (Full Body)</t>
  </si>
  <si>
    <t xml:space="preserve">resistance band workout</t>
  </si>
  <si>
    <t xml:space="preserve">27.1K</t>
  </si>
  <si>
    <t xml:space="preserve">resistance-band-workout</t>
  </si>
  <si>
    <t xml:space="preserve">Equipment guides, Reps &amp; Sets</t>
  </si>
  <si>
    <t xml:space="preserve">Kettlebell Workout Plan (3-Day)</t>
  </si>
  <si>
    <t xml:space="preserve">kettlebell workout</t>
  </si>
  <si>
    <t xml:space="preserve">kettlebell-workout</t>
  </si>
  <si>
    <t xml:space="preserve">Deadlift guides, Equipment</t>
  </si>
  <si>
    <t xml:space="preserve">Teach kettlebell swing technique before load; injury risk if hinge is poor.</t>
  </si>
  <si>
    <t xml:space="preserve">Home Gym Workout Plan (Bench + Dumbbells)</t>
  </si>
  <si>
    <t xml:space="preserve">home gym workout plan</t>
  </si>
  <si>
    <t xml:space="preserve">home-gym-workout-plan</t>
  </si>
  <si>
    <t xml:space="preserve">Bench Press, Equipment guides</t>
  </si>
  <si>
    <t xml:space="preserve">Apartment Friendly Workout (No Noise)</t>
  </si>
  <si>
    <t xml:space="preserve">apartment workout no noise</t>
  </si>
  <si>
    <t xml:space="preserve">apartment-workout-no-noise</t>
  </si>
  <si>
    <t xml:space="preserve">Bodyweight exercises, 30-min guide</t>
  </si>
  <si>
    <t xml:space="preserve">Morning Workout Routine at Home (20 Min)</t>
  </si>
  <si>
    <t xml:space="preserve">morning workout routine at home</t>
  </si>
  <si>
    <t xml:space="preserve">3K+</t>
  </si>
  <si>
    <t xml:space="preserve">morning-workout-routine-at-home</t>
  </si>
  <si>
    <t xml:space="preserve">30-min guide, Nutrition guides</t>
  </si>
  <si>
    <t xml:space="preserve">If nutrition is mentioned, keep it general and dietitian-reviewed.</t>
  </si>
  <si>
    <t xml:space="preserve">Home Workout Plan for Beginners</t>
  </si>
  <si>
    <t xml:space="preserve">home workout plan for beginners</t>
  </si>
  <si>
    <t xml:space="preserve">home-workout-plan-for-beginners</t>
  </si>
  <si>
    <t xml:space="preserve">How to Structure, Reps guides</t>
  </si>
  <si>
    <t xml:space="preserve">Pull Up Bar Workout Plan (Home)</t>
  </si>
  <si>
    <t xml:space="preserve">pull up bar workout plan</t>
  </si>
  <si>
    <t xml:space="preserve">pull-up-bar-workout-plan</t>
  </si>
  <si>
    <t xml:space="preserve">Back guides, Equipment</t>
  </si>
  <si>
    <t xml:space="preserve">Medicine Ball Workout Plan at Home (Full Body)</t>
  </si>
  <si>
    <t xml:space="preserve">medicine ball workout plan</t>
  </si>
  <si>
    <t xml:space="preserve">medicine-ball-workout-plan</t>
  </si>
  <si>
    <t xml:space="preserve">Medicine Ball articles (all 9), Core plan</t>
  </si>
  <si>
    <t xml:space="preserve">HIIT &amp; Cardio</t>
  </si>
  <si>
    <t xml:space="preserve">Beginner HIIT Workout Plan (4-Week)</t>
  </si>
  <si>
    <t xml:space="preserve">beginner hiit workout plan</t>
  </si>
  <si>
    <t xml:space="preserve">beginner-hiit-workout-plan</t>
  </si>
  <si>
    <t xml:space="preserve">HIIT guide, 30-min guide, Nutrition</t>
  </si>
  <si>
    <t xml:space="preserve">Add a short 'check with your doctor if you have a heart condition' note.</t>
  </si>
  <si>
    <t xml:space="preserve">Tabata Workout Plan (4-Week)</t>
  </si>
  <si>
    <t xml:space="preserve">tabata workout plan</t>
  </si>
  <si>
    <t xml:space="preserve">tabata-workout-plan</t>
  </si>
  <si>
    <t xml:space="preserve">All-out intervals: add medical-clearance note for untrained readers.</t>
  </si>
  <si>
    <t xml:space="preserve">EMOM Workout Plan (3-Day)</t>
  </si>
  <si>
    <t xml:space="preserve">emom workout plan</t>
  </si>
  <si>
    <t xml:space="preserve">emom-workout-plan</t>
  </si>
  <si>
    <t xml:space="preserve">AMRAP Workout Plan for Beginners</t>
  </si>
  <si>
    <t xml:space="preserve">amrap workout plan</t>
  </si>
  <si>
    <t xml:space="preserve">amrap-workout-plan</t>
  </si>
  <si>
    <t xml:space="preserve">HIIT guide, Bodyweight exercises</t>
  </si>
  <si>
    <t xml:space="preserve">Advanced HIIT Workout Plan (6-Week)</t>
  </si>
  <si>
    <t xml:space="preserve">advanced hiit workout plan</t>
  </si>
  <si>
    <t xml:space="preserve">advanced-hiit-workout-plan</t>
  </si>
  <si>
    <t xml:space="preserve">All-out intervals: add medical-clearance note; advanced readers only.</t>
  </si>
  <si>
    <t xml:space="preserve">Cardio Workout Plan for Beginners</t>
  </si>
  <si>
    <t xml:space="preserve">cardio workout plan for beginners</t>
  </si>
  <si>
    <t xml:space="preserve">cardio-workout-plan-for-beginners</t>
  </si>
  <si>
    <t xml:space="preserve">Health &amp; Wellness, How to Structure</t>
  </si>
  <si>
    <t xml:space="preserve">Low Impact HIIT Plan (No Jumping)</t>
  </si>
  <si>
    <t xml:space="preserve">low impact hiit workout plan</t>
  </si>
  <si>
    <t xml:space="preserve">low-impact-hiit-workout-plan</t>
  </si>
  <si>
    <t xml:space="preserve">Health &amp; Wellness, Beginner guides</t>
  </si>
  <si>
    <t xml:space="preserve">Cardio Endurance Training Plan (8-Week)</t>
  </si>
  <si>
    <t xml:space="preserve">cardio endurance workout plan</t>
  </si>
  <si>
    <t xml:space="preserve">cardio-endurance-workout-plan</t>
  </si>
  <si>
    <t xml:space="preserve">HIIT guide, Nutrition guides</t>
  </si>
  <si>
    <t xml:space="preserve">Sprint Interval Training Plan</t>
  </si>
  <si>
    <t xml:space="preserve">sprint interval training plan</t>
  </si>
  <si>
    <t xml:space="preserve">sprint-interval-training-plan</t>
  </si>
  <si>
    <t xml:space="preserve">Maximal sprints: warm-up and medical-clearance note; hamstring injury risk.</t>
  </si>
  <si>
    <t xml:space="preserve">Circuit Training Workout Plan (3-Day)</t>
  </si>
  <si>
    <t xml:space="preserve">circuit training</t>
  </si>
  <si>
    <t xml:space="preserve">14.8K</t>
  </si>
  <si>
    <t xml:space="preserve">circuit-training</t>
  </si>
  <si>
    <t xml:space="preserve">Equipment, Medicine Ball, HIIT</t>
  </si>
  <si>
    <t xml:space="preserve">Legs &amp; Glutes</t>
  </si>
  <si>
    <t xml:space="preserve">Glute Workout Plan (Gym, 4-Week)</t>
  </si>
  <si>
    <t xml:space="preserve">glute workout</t>
  </si>
  <si>
    <t xml:space="preserve">glute-workout</t>
  </si>
  <si>
    <t xml:space="preserve">Squat guides, Cable guides, Deadlift</t>
  </si>
  <si>
    <t xml:space="preserve">Leg Day Workout Plan (Complete)</t>
  </si>
  <si>
    <t xml:space="preserve">leg day workout</t>
  </si>
  <si>
    <t xml:space="preserve">leg-day-workout</t>
  </si>
  <si>
    <t xml:space="preserve">Squat guides (all 5), Deadlift</t>
  </si>
  <si>
    <t xml:space="preserve">Glute Workout at Home (No Equipment)</t>
  </si>
  <si>
    <t xml:space="preserve">glute workout at home</t>
  </si>
  <si>
    <t xml:space="preserve">4K+</t>
  </si>
  <si>
    <t xml:space="preserve">glute-workout-at-home</t>
  </si>
  <si>
    <t xml:space="preserve">Home articles, Medicine Ball</t>
  </si>
  <si>
    <t xml:space="preserve">Dumbbell Leg Workout Plan (Home)</t>
  </si>
  <si>
    <t xml:space="preserve">dumbbell leg workout plan</t>
  </si>
  <si>
    <t xml:space="preserve">dumbbell-leg-workout-plan</t>
  </si>
  <si>
    <t xml:space="preserve">Squat guides, Equipment</t>
  </si>
  <si>
    <t xml:space="preserve">Quad and Hamstring Workout Plan</t>
  </si>
  <si>
    <t xml:space="preserve">quad and hamstring workout</t>
  </si>
  <si>
    <t xml:space="preserve">quad-and-hamstring-workout</t>
  </si>
  <si>
    <t xml:space="preserve">Squat guides, Deadlift guides</t>
  </si>
  <si>
    <t xml:space="preserve">Glute Activation Workout (Pre-Workout)</t>
  </si>
  <si>
    <t xml:space="preserve">glute activation workout</t>
  </si>
  <si>
    <t xml:space="preserve">glute-activation-workout</t>
  </si>
  <si>
    <t xml:space="preserve">Squat guides, Cable exercises</t>
  </si>
  <si>
    <t xml:space="preserve">Hip Thrust Workout Program</t>
  </si>
  <si>
    <t xml:space="preserve">hip thrust workout plan</t>
  </si>
  <si>
    <t xml:space="preserve">hip-thrust-workout-plan</t>
  </si>
  <si>
    <t xml:space="preserve">Glute plan, Squat guides</t>
  </si>
  <si>
    <t xml:space="preserve">Core &amp; Abs</t>
  </si>
  <si>
    <t xml:space="preserve">Core Strengthening Workout Plan</t>
  </si>
  <si>
    <t xml:space="preserve">core workout</t>
  </si>
  <si>
    <t xml:space="preserve">60.5K</t>
  </si>
  <si>
    <t xml:space="preserve">core-workout</t>
  </si>
  <si>
    <t xml:space="preserve">Medicine Ball, Advanced Techniques</t>
  </si>
  <si>
    <t xml:space="preserve">Ab Workout at Home (No Equipment)</t>
  </si>
  <si>
    <t xml:space="preserve">ab workout at home plan</t>
  </si>
  <si>
    <t xml:space="preserve">ab-workout-at-home-plan</t>
  </si>
  <si>
    <t xml:space="preserve">Medicine Ball, Home articles</t>
  </si>
  <si>
    <t xml:space="preserve">10-Minute Daily Ab Workout</t>
  </si>
  <si>
    <t xml:space="preserve">10 minute ab workout daily</t>
  </si>
  <si>
    <t xml:space="preserve">10-minute-ab-workout-daily</t>
  </si>
  <si>
    <t xml:space="preserve">30-min guide, Medicine Ball</t>
  </si>
  <si>
    <t xml:space="preserve">Plank Workout Challenge (30-Day)</t>
  </si>
  <si>
    <t xml:space="preserve">plank workout challenge</t>
  </si>
  <si>
    <t xml:space="preserve">plank-workout-challenge</t>
  </si>
  <si>
    <t xml:space="preserve">Core plan, Medicine Ball</t>
  </si>
  <si>
    <t xml:space="preserve">Avoid extreme hold-time targets; focus on progressive, controlled holds.</t>
  </si>
  <si>
    <t xml:space="preserve">Anti-Rotation Core Workout Plan</t>
  </si>
  <si>
    <t xml:space="preserve">anti rotation core workout</t>
  </si>
  <si>
    <t xml:space="preserve">800+</t>
  </si>
  <si>
    <t xml:space="preserve">anti-rotation-core-workout</t>
  </si>
  <si>
    <t xml:space="preserve">Cable exercises, Advanced Techniques</t>
  </si>
  <si>
    <t xml:space="preserve">Abs and Cardio Combo Workout Plan</t>
  </si>
  <si>
    <t xml:space="preserve">abs and cardio workout plan</t>
  </si>
  <si>
    <t xml:space="preserve">abs-and-cardio-workout-plan</t>
  </si>
  <si>
    <t xml:space="preserve">HIIT guide, Medicine Ball, Nutrition</t>
  </si>
  <si>
    <t xml:space="preserve">Keep nutrition general; no fat-loss timelines.</t>
  </si>
  <si>
    <t xml:space="preserve">Calisthenics</t>
  </si>
  <si>
    <t xml:space="preserve">Beginner Calisthenics Workout Plan (12-Week)</t>
  </si>
  <si>
    <t xml:space="preserve">calisthenics workout plan</t>
  </si>
  <si>
    <t xml:space="preserve">calisthenics-workout-plan</t>
  </si>
  <si>
    <t xml:space="preserve">Push Up Workout Plan (Progressive)</t>
  </si>
  <si>
    <t xml:space="preserve">push up workout</t>
  </si>
  <si>
    <t xml:space="preserve">2.9K</t>
  </si>
  <si>
    <t xml:space="preserve">push-up-workout</t>
  </si>
  <si>
    <t xml:space="preserve">Bench Press guides, Reps &amp; Sets</t>
  </si>
  <si>
    <t xml:space="preserve">Pull Up Progression Program</t>
  </si>
  <si>
    <t xml:space="preserve">pull up progression plan</t>
  </si>
  <si>
    <t xml:space="preserve">pull-up-progression-plan</t>
  </si>
  <si>
    <t xml:space="preserve">Back guides, Reps &amp; Sets</t>
  </si>
  <si>
    <t xml:space="preserve">Pistol Squat Progression Plan</t>
  </si>
  <si>
    <t xml:space="preserve">pistol squat progression</t>
  </si>
  <si>
    <t xml:space="preserve">1.7K</t>
  </si>
  <si>
    <t xml:space="preserve">pistol-squat-progression</t>
  </si>
  <si>
    <t xml:space="preserve">Squat guides, Advanced Techniques</t>
  </si>
  <si>
    <t xml:space="preserve">Include knee-safe regressions (box pistols, assisted).</t>
  </si>
  <si>
    <t xml:space="preserve">Calisthenics Skills Program (Intermediate)</t>
  </si>
  <si>
    <t xml:space="preserve">calisthenics skills workout</t>
  </si>
  <si>
    <t xml:space="preserve">calisthenics-skills-workout</t>
  </si>
  <si>
    <t xml:space="preserve">Advanced Techniques, Reps &amp; Sets</t>
  </si>
  <si>
    <t xml:space="preserve">Handstand Progression Workout Plan</t>
  </si>
  <si>
    <t xml:space="preserve">handstand workout plan</t>
  </si>
  <si>
    <t xml:space="preserve">handstand-workout-plan</t>
  </si>
  <si>
    <t xml:space="preserve">Advanced Techniques, Core plan</t>
  </si>
  <si>
    <t xml:space="preserve">Include wrist preparation and wall-supported progressions.</t>
  </si>
  <si>
    <t xml:space="preserve">Muscle Up Progression Program</t>
  </si>
  <si>
    <t xml:space="preserve">muscle up progression workout</t>
  </si>
  <si>
    <t xml:space="preserve">muscle-up-progression-workout</t>
  </si>
  <si>
    <t xml:space="preserve">Pull up plan, Advanced Techniques</t>
  </si>
  <si>
    <t xml:space="preserve">Include shoulder-safe progressions; advanced readers only.</t>
  </si>
  <si>
    <t xml:space="preserve">Street Workout Plan for Beginners</t>
  </si>
  <si>
    <t xml:space="preserve">street workout plan beginners</t>
  </si>
  <si>
    <t xml:space="preserve">street-workout-plan-beginners</t>
  </si>
  <si>
    <t xml:space="preserve">Calisthenics plan, Medicine Ball</t>
  </si>
  <si>
    <t xml:space="preserve">Quick Workouts</t>
  </si>
  <si>
    <t xml:space="preserve">10-Minute Full Body Workout (Daily)</t>
  </si>
  <si>
    <t xml:space="preserve">full body workout</t>
  </si>
  <si>
    <t xml:space="preserve">33.1K</t>
  </si>
  <si>
    <t xml:space="preserve">full-body-workout</t>
  </si>
  <si>
    <t xml:space="preserve">30-min guide, Bodyweight plan</t>
  </si>
  <si>
    <t xml:space="preserve">15-Minute HIIT Workout Plan</t>
  </si>
  <si>
    <t xml:space="preserve">15 minute hiit workout</t>
  </si>
  <si>
    <t xml:space="preserve">15-minute-hiit-workout</t>
  </si>
  <si>
    <t xml:space="preserve">HIIT guide, 30-min guide</t>
  </si>
  <si>
    <t xml:space="preserve">20-Minute Full Body Strength Workout</t>
  </si>
  <si>
    <t xml:space="preserve">20 minute strength workout</t>
  </si>
  <si>
    <t xml:space="preserve">20-minute-strength-workout</t>
  </si>
  <si>
    <t xml:space="preserve">30-min guide, Compound lifts</t>
  </si>
  <si>
    <t xml:space="preserve">30-Minute Gym Workout Plan</t>
  </si>
  <si>
    <t xml:space="preserve">30 minute gym workout plan</t>
  </si>
  <si>
    <t xml:space="preserve">30-minute-gym-workout-plan</t>
  </si>
  <si>
    <t xml:space="preserve">30-min guide, Equipment guides</t>
  </si>
  <si>
    <t xml:space="preserve">Lunch Break Workout (20 Minutes)</t>
  </si>
  <si>
    <t xml:space="preserve">lunch break workout plan</t>
  </si>
  <si>
    <t xml:space="preserve">lunch-break-workout-plan</t>
  </si>
  <si>
    <t xml:space="preserve">30-min guide, Bodyweight exercises</t>
  </si>
  <si>
    <t xml:space="preserve">15-Minute Core Workout (No Equipment)</t>
  </si>
  <si>
    <t xml:space="preserve">15 minute core workout</t>
  </si>
  <si>
    <t xml:space="preserve">15-minute-core-workout</t>
  </si>
  <si>
    <t xml:space="preserve">Early Morning 15-Minute Workout</t>
  </si>
  <si>
    <t xml:space="preserve">morning 15 minute workout</t>
  </si>
  <si>
    <t xml:space="preserve">morning-15-minute-workout</t>
  </si>
  <si>
    <t xml:space="preserve">Morning routine, Nutrition</t>
  </si>
  <si>
    <t xml:space="preserve">10-Minute Stretching Routine (Daily)</t>
  </si>
  <si>
    <t xml:space="preserve">10 minute stretching routine</t>
  </si>
  <si>
    <t xml:space="preserve">10-minute-stretching-routine</t>
  </si>
  <si>
    <t xml:space="preserve">Health &amp; Wellness, Recovery</t>
  </si>
  <si>
    <t xml:space="preserve">General flexibility only; no pain-relief claims.</t>
  </si>
  <si>
    <t xml:space="preserve">Beginner Specific</t>
  </si>
  <si>
    <t xml:space="preserve">Complete Beginner Gym Guide &amp; Plan</t>
  </si>
  <si>
    <t xml:space="preserve">beginner gym workout</t>
  </si>
  <si>
    <t xml:space="preserve">3.6K</t>
  </si>
  <si>
    <t xml:space="preserve">beginner-gym-workout</t>
  </si>
  <si>
    <t xml:space="preserve">How to Structure, Reps, Equipment</t>
  </si>
  <si>
    <t xml:space="preserve">First 90 Days Workout Program</t>
  </si>
  <si>
    <t xml:space="preserve">90 day workout plan beginners</t>
  </si>
  <si>
    <t xml:space="preserve">90-day-workout-plan-beginners</t>
  </si>
  <si>
    <t xml:space="preserve">All beginner content, Nutrition</t>
  </si>
  <si>
    <t xml:space="preserve">Nutrition part: dietitian review.</t>
  </si>
  <si>
    <t xml:space="preserve">Workout Plan for Complete Beginners (No Gym)</t>
  </si>
  <si>
    <t xml:space="preserve">workout plan for beginners at home</t>
  </si>
  <si>
    <t xml:space="preserve">workout-plan-for-beginners-at-home</t>
  </si>
  <si>
    <t xml:space="preserve">Home articles, 30-min guide</t>
  </si>
  <si>
    <t xml:space="preserve">Beginner Workout Plan for Women (Gym)</t>
  </si>
  <si>
    <t xml:space="preserve">beginner workout plan for women</t>
  </si>
  <si>
    <t xml:space="preserve">beginner-workout-plan-for-women</t>
  </si>
  <si>
    <t xml:space="preserve">Glute plan, Fat loss plan, Nutrition</t>
  </si>
  <si>
    <t xml:space="preserve">Nutrition part: dietitian review; no weight-loss promises.</t>
  </si>
  <si>
    <t xml:space="preserve">Beginner Workout Plan for Men (Gym)</t>
  </si>
  <si>
    <t xml:space="preserve">workout plan for men</t>
  </si>
  <si>
    <t xml:space="preserve">workout-plan-for-men</t>
  </si>
  <si>
    <t xml:space="preserve">Compound lifts, 5x5, Nutrition</t>
  </si>
  <si>
    <t xml:space="preserve">How to Start Working Out (Complete Plan)</t>
  </si>
  <si>
    <t xml:space="preserve">how to start working out plan</t>
  </si>
  <si>
    <t xml:space="preserve">how-to-start-working-out-plan</t>
  </si>
  <si>
    <t xml:space="preserve">How to Structure, Weekly Schedule</t>
  </si>
  <si>
    <t xml:space="preserve">Warm Up, Mobility &amp; Recovery</t>
  </si>
  <si>
    <t xml:space="preserve">Full Body Warm Up Routine (Pre-Workout)</t>
  </si>
  <si>
    <t xml:space="preserve">warm up routine before workout</t>
  </si>
  <si>
    <t xml:space="preserve">warm-up-routine-before-workout</t>
  </si>
  <si>
    <t xml:space="preserve">ALL gym plans (cross-link)</t>
  </si>
  <si>
    <t xml:space="preserve">Full Body Mobility Routine for Lifters</t>
  </si>
  <si>
    <t xml:space="preserve">mobility routine</t>
  </si>
  <si>
    <t xml:space="preserve">880</t>
  </si>
  <si>
    <t xml:space="preserve">mobility-routine</t>
  </si>
  <si>
    <t xml:space="preserve">Squat, Deadlift, Health guides</t>
  </si>
  <si>
    <t xml:space="preserve">Post Workout Stretching Routine</t>
  </si>
  <si>
    <t xml:space="preserve">post workout stretching routine</t>
  </si>
  <si>
    <t xml:space="preserve">post-workout-stretching-routine</t>
  </si>
  <si>
    <t xml:space="preserve">ALL plans, Health &amp; Wellness</t>
  </si>
  <si>
    <t xml:space="preserve">Active Recovery Day Workout</t>
  </si>
  <si>
    <t xml:space="preserve">active recovery day workout</t>
  </si>
  <si>
    <t xml:space="preserve">active-recovery-day-workout</t>
  </si>
  <si>
    <t xml:space="preserve">Health &amp; Wellness, Mobility</t>
  </si>
  <si>
    <t xml:space="preserve">General recovery only; no injury-treatment claims.</t>
  </si>
  <si>
    <t xml:space="preserve">Body Part Specific</t>
  </si>
  <si>
    <t xml:space="preserve">Chest Workout Plan (4-Week)</t>
  </si>
  <si>
    <t xml:space="preserve">chest workout</t>
  </si>
  <si>
    <t xml:space="preserve">135K</t>
  </si>
  <si>
    <t xml:space="preserve">chest-workout</t>
  </si>
  <si>
    <t xml:space="preserve">Bench Press guides (all 4)</t>
  </si>
  <si>
    <t xml:space="preserve">Back Workout Plan (4-Week)</t>
  </si>
  <si>
    <t xml:space="preserve">back workout plan</t>
  </si>
  <si>
    <t xml:space="preserve">back-workout-plan</t>
  </si>
  <si>
    <t xml:space="preserve">Deadlift guides, Cable exercises</t>
  </si>
  <si>
    <t xml:space="preserve">Shoulder Workout Plan (4-Week)</t>
  </si>
  <si>
    <t xml:space="preserve">shoulder workout plan</t>
  </si>
  <si>
    <t xml:space="preserve">shoulder-workout-plan</t>
  </si>
  <si>
    <t xml:space="preserve">Bench Press (overhead), Equipment</t>
  </si>
  <si>
    <t xml:space="preserve">Arm Workout Plan (Biceps &amp; Triceps)</t>
  </si>
  <si>
    <t xml:space="preserve">arm workout</t>
  </si>
  <si>
    <t xml:space="preserve">74K</t>
  </si>
  <si>
    <t xml:space="preserve">arm-workout</t>
  </si>
  <si>
    <t xml:space="preserve">Cable exercises, Equipment guides</t>
  </si>
  <si>
    <t xml:space="preserve">Risk Type</t>
  </si>
  <si>
    <t xml:space="preserve">Why Removed</t>
  </si>
  <si>
    <t xml:space="preserve">Strength Training for Over 40</t>
  </si>
  <si>
    <t xml:space="preserve">strength training over 40</t>
  </si>
  <si>
    <t xml:space="preserve">Age-specific population</t>
  </si>
  <si>
    <t xml:space="preserve">Over-40 content leads into joint health, hormones and chronic conditions — medical territory.</t>
  </si>
  <si>
    <t xml:space="preserve">12-Week Fat Loss Workout Plan</t>
  </si>
  <si>
    <t xml:space="preserve">fat loss workout plan</t>
  </si>
  <si>
    <t xml:space="preserve">5K+</t>
  </si>
  <si>
    <t xml:space="preserve">Weight-loss outcome</t>
  </si>
  <si>
    <t xml:space="preserve">Core promise is fat loss over a fixed timeline; needs calorie-deficit prescriptions for the general public.</t>
  </si>
  <si>
    <t xml:space="preserve">Gym Workout Plan for Weight Loss</t>
  </si>
  <si>
    <t xml:space="preserve">gym workout plan for weight loss</t>
  </si>
  <si>
    <t xml:space="preserve">Framed around weight loss rather than training; diet and deficit advice drives the result.</t>
  </si>
  <si>
    <t xml:space="preserve">Fat Burning Workout Plan at Home</t>
  </si>
  <si>
    <t xml:space="preserve">fat burning workout</t>
  </si>
  <si>
    <t xml:space="preserve">4.4K</t>
  </si>
  <si>
    <t xml:space="preserve">'Fat burning' framing invites spot-reduction and calorie-burn claims that are easy to overstate.</t>
  </si>
  <si>
    <t xml:space="preserve">Strength Training for Fat Loss (4-Day)</t>
  </si>
  <si>
    <t xml:space="preserve">strength training for fat loss</t>
  </si>
  <si>
    <t xml:space="preserve">Main promise is fat loss; depends on calorie-deficit guidance.</t>
  </si>
  <si>
    <t xml:space="preserve">Walking and Strength Plan for Weight Loss</t>
  </si>
  <si>
    <t xml:space="preserve">walking workout plan for weight loss</t>
  </si>
  <si>
    <t xml:space="preserve">Weight-loss promise for a broad, often untrained or overweight audience.</t>
  </si>
  <si>
    <t xml:space="preserve">Body Recomposition Workout Plan</t>
  </si>
  <si>
    <t xml:space="preserve">body recomposition</t>
  </si>
  <si>
    <t xml:space="preserve">Body recomposition is diet-driven; results claims depend on nutrition and individual factors.</t>
  </si>
  <si>
    <t xml:space="preserve">Low Impact Weight Loss Workout Plan</t>
  </si>
  <si>
    <t xml:space="preserve">low impact weight loss workout</t>
  </si>
  <si>
    <t xml:space="preserve">Weight-loss + health population</t>
  </si>
  <si>
    <t xml:space="preserve">Targets people needing low impact (joint issues, high body weight) with weight-loss promises.</t>
  </si>
  <si>
    <t xml:space="preserve">30-Day Weight Loss Challenge Workout</t>
  </si>
  <si>
    <t xml:space="preserve">30 day weight loss workout plan</t>
  </si>
  <si>
    <t xml:space="preserve">Rapid-result promise</t>
  </si>
  <si>
    <t xml:space="preserve">30-day weight-loss challenges set unrealistic expectations and encourage aggressive dieting.</t>
  </si>
  <si>
    <t xml:space="preserve">Knee-Friendly Leg Workout Plan</t>
  </si>
  <si>
    <t xml:space="preserve">knee friendly leg workout</t>
  </si>
  <si>
    <t xml:space="preserve">Pain / injury framing</t>
  </si>
  <si>
    <t xml:space="preserve">'Knee-friendly' implies managing knee pain or injury — rehab advice needs a clinician.</t>
  </si>
  <si>
    <t xml:space="preserve">6-Week Ab Workout Plan (Six Pack)</t>
  </si>
  <si>
    <t xml:space="preserve">ab workout</t>
  </si>
  <si>
    <t xml:space="preserve">165K</t>
  </si>
  <si>
    <t xml:space="preserve">'Six pack in 6 weeks' depends on body fat, not ab training; the promise can't be kept honestly.</t>
  </si>
  <si>
    <t xml:space="preserve">Lower Back Friendly Core Workout</t>
  </si>
  <si>
    <t xml:space="preserve">lower back friendly core workout</t>
  </si>
  <si>
    <t xml:space="preserve">'Lower back friendly' implies managing back pain — medical/rehab territory.</t>
  </si>
  <si>
    <t xml:space="preserve">Workout Plan for Seniors / Over 50</t>
  </si>
  <si>
    <t xml:space="preserve">workout plan for seniors</t>
  </si>
  <si>
    <t xml:space="preserve">Vulnerable population</t>
  </si>
  <si>
    <t xml:space="preserve">Seniors often have medical conditions, fall risk and medications to consider.</t>
  </si>
  <si>
    <t xml:space="preserve">Workout Plan for Teenagers</t>
  </si>
  <si>
    <t xml:space="preserve">workout plan for teenagers</t>
  </si>
  <si>
    <t xml:space="preserve">Vulnerable population (minors)</t>
  </si>
  <si>
    <t xml:space="preserve">Training advice for under-18s needs paediatric guidance and parental context.</t>
  </si>
  <si>
    <t xml:space="preserve">Item</t>
  </si>
  <si>
    <t xml:space="preserve">Count</t>
  </si>
  <si>
    <t xml:space="preserve">Total plans in original roadmap</t>
  </si>
  <si>
    <t xml:space="preserve">Removed for YMYL risk</t>
  </si>
  <si>
    <t xml:space="preserve">Remaining plans</t>
  </si>
  <si>
    <t xml:space="preserve">Remaining — already written (Batch 1)</t>
  </si>
  <si>
    <t xml:space="preserve">Remaining — to write</t>
  </si>
  <si>
    <t xml:space="preserve">To write — Priority P1</t>
  </si>
  <si>
    <t xml:space="preserve">To write — Priority P2</t>
  </si>
  <si>
    <t xml:space="preserve">To write — Priority P3</t>
  </si>
  <si>
    <t xml:space="preserve">Remaining plans by category</t>
  </si>
  <si>
    <t xml:space="preserve">Rule</t>
  </si>
  <si>
    <t xml:space="preserve">What it covers</t>
  </si>
  <si>
    <t xml:space="preserve">Plans removed</t>
  </si>
  <si>
    <t xml:space="preserve">Titles that imply managing pain or injury (knee, lower back). Rehab advice needs a clinician.</t>
  </si>
  <si>
    <t xml:space="preserve">58, 66</t>
  </si>
  <si>
    <t xml:space="preserve">Vulnerable or age-specific populations</t>
  </si>
  <si>
    <t xml:space="preserve">Teenagers (minors), seniors/over 50, over 40 — medical conditions, medications, fall risk.</t>
  </si>
  <si>
    <t xml:space="preserve">19, 90, 91</t>
  </si>
  <si>
    <t xml:space="preserve">Weight-loss outcome as the main promise</t>
  </si>
  <si>
    <t xml:space="preserve">Plans whose result depends on calorie-deficit and diet prescriptions for the general public.</t>
  </si>
  <si>
    <t xml:space="preserve">23, 24, 25, 26, 28, 29, 30</t>
  </si>
  <si>
    <t xml:space="preserve">Rapid-result promises</t>
  </si>
  <si>
    <t xml:space="preserve">Fixed-timeline transformations that can't be promised honestly (30-day weight loss, six pack in 6 weeks).</t>
  </si>
  <si>
    <t xml:space="preserve">32, 61</t>
  </si>
  <si>
    <t xml:space="preserve">Kept with care (see YMYL Notes column)</t>
  </si>
  <si>
    <t xml:space="preserve">Normal training plans for healthy adults; some need a medical-clearance line, safe progressions or dietitian review of nutrition parts.</t>
  </si>
  <si>
    <t xml:space="preserve">—</t>
  </si>
  <si>
    <t xml:space="preserve">Source of plan data</t>
  </si>
  <si>
    <t xml:space="preserve">Plan names, keywords, volumes, KD, priority and internal links copied from the user's roadmap (roadmap.html, 23 Oct 2026). Volumes marked 'No (estimate)' were not verified in the roadmap.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</si>
</sst>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1A2E"/>
        <bgColor rgb="FF333300"/>
      </patternFill>
    </fill>
    <fill>
      <patternFill patternType="solid">
        <fgColor rgb="FFE2EFDA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1A2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RemainingPlans" displayName="RemainingPlans" ref="A1:L87" headerRowCount="1" totalsRowCount="0" totalsRowShown="0">
  <autoFilter ref="A1:L87"/>
  <tableColumns count="12">
    <tableColumn id="1" name="#"/>
    <tableColumn id="2" name="Category"/>
    <tableColumn id="3" name="Plan Name"/>
    <tableColumn id="4" name="Target Keyword"/>
    <tableColumn id="5" name="Volume (roadmap)"/>
    <tableColumn id="6" name="Volume Verified?"/>
    <tableColumn id="7" name="KD"/>
    <tableColumn id="8" name="Priority"/>
    <tableColumn id="9" name="Suggested Slug (/workout-plans/...)"/>
    <tableColumn id="10" name="Internal Links (roadmap)"/>
    <tableColumn id="11" name="Status"/>
    <tableColumn id="12" name="YMYL 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9"/>
    <col collapsed="false" customWidth="true" hidden="false" outlineLevel="0" max="10" min="9" style="0" width="34"/>
    <col collapsed="false" customWidth="true" hidden="false" outlineLevel="0" max="11" min="11" style="0" width="16"/>
    <col collapsed="false" customWidth="true" hidden="false" outlineLevel="0" max="12" min="12" style="0" width="46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Format="false" ht="23.85" hidden="false" customHeight="false" outlineLevel="0" collapsed="false">
      <c r="A2" s="2" t="n">
        <v>1</v>
      </c>
      <c r="B2" s="2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2" t="s">
        <v>18</v>
      </c>
      <c r="I2" s="2" t="s">
        <v>19</v>
      </c>
      <c r="J2" s="2" t="s">
        <v>20</v>
      </c>
      <c r="K2" s="3" t="s">
        <v>21</v>
      </c>
      <c r="L2" s="2"/>
    </row>
    <row r="3" customFormat="false" ht="23.85" hidden="false" customHeight="false" outlineLevel="0" collapsed="false">
      <c r="A3" s="2" t="n">
        <v>2</v>
      </c>
      <c r="B3" s="2" t="s">
        <v>12</v>
      </c>
      <c r="C3" s="2" t="s">
        <v>22</v>
      </c>
      <c r="D3" s="2" t="s">
        <v>23</v>
      </c>
      <c r="E3" s="2" t="s">
        <v>24</v>
      </c>
      <c r="F3" s="2" t="s">
        <v>16</v>
      </c>
      <c r="G3" s="2" t="s">
        <v>25</v>
      </c>
      <c r="H3" s="2" t="s">
        <v>18</v>
      </c>
      <c r="I3" s="2" t="s">
        <v>26</v>
      </c>
      <c r="J3" s="2" t="s">
        <v>27</v>
      </c>
      <c r="K3" s="3" t="s">
        <v>21</v>
      </c>
      <c r="L3" s="2"/>
    </row>
    <row r="4" customFormat="false" ht="23.85" hidden="false" customHeight="false" outlineLevel="0" collapsed="false">
      <c r="A4" s="2" t="n">
        <v>3</v>
      </c>
      <c r="B4" s="2" t="s">
        <v>12</v>
      </c>
      <c r="C4" s="2" t="s">
        <v>28</v>
      </c>
      <c r="D4" s="2" t="s">
        <v>29</v>
      </c>
      <c r="E4" s="2" t="s">
        <v>30</v>
      </c>
      <c r="F4" s="2" t="s">
        <v>16</v>
      </c>
      <c r="G4" s="2" t="s">
        <v>17</v>
      </c>
      <c r="H4" s="2" t="s">
        <v>18</v>
      </c>
      <c r="I4" s="2" t="s">
        <v>31</v>
      </c>
      <c r="J4" s="2" t="s">
        <v>32</v>
      </c>
      <c r="K4" s="3" t="s">
        <v>21</v>
      </c>
      <c r="L4" s="2"/>
    </row>
    <row r="5" customFormat="false" ht="23.85" hidden="false" customHeight="false" outlineLevel="0" collapsed="false">
      <c r="A5" s="2" t="n">
        <v>4</v>
      </c>
      <c r="B5" s="2" t="s">
        <v>12</v>
      </c>
      <c r="C5" s="2" t="s">
        <v>33</v>
      </c>
      <c r="D5" s="2" t="s">
        <v>34</v>
      </c>
      <c r="E5" s="2" t="s">
        <v>35</v>
      </c>
      <c r="F5" s="2" t="s">
        <v>16</v>
      </c>
      <c r="G5" s="2" t="s">
        <v>17</v>
      </c>
      <c r="H5" s="2" t="s">
        <v>18</v>
      </c>
      <c r="I5" s="2" t="s">
        <v>36</v>
      </c>
      <c r="J5" s="2" t="s">
        <v>37</v>
      </c>
      <c r="K5" s="3" t="s">
        <v>21</v>
      </c>
      <c r="L5" s="2"/>
    </row>
    <row r="6" customFormat="false" ht="23.85" hidden="false" customHeight="false" outlineLevel="0" collapsed="false">
      <c r="A6" s="2" t="n">
        <v>5</v>
      </c>
      <c r="B6" s="2" t="s">
        <v>12</v>
      </c>
      <c r="C6" s="2" t="s">
        <v>38</v>
      </c>
      <c r="D6" s="2" t="s">
        <v>39</v>
      </c>
      <c r="E6" s="2" t="s">
        <v>30</v>
      </c>
      <c r="F6" s="2" t="s">
        <v>16</v>
      </c>
      <c r="G6" s="2" t="s">
        <v>40</v>
      </c>
      <c r="H6" s="2" t="s">
        <v>18</v>
      </c>
      <c r="I6" s="2" t="s">
        <v>41</v>
      </c>
      <c r="J6" s="2" t="s">
        <v>42</v>
      </c>
      <c r="K6" s="3" t="s">
        <v>21</v>
      </c>
      <c r="L6" s="2"/>
    </row>
    <row r="7" customFormat="false" ht="23.85" hidden="false" customHeight="false" outlineLevel="0" collapsed="false">
      <c r="A7" s="2" t="n">
        <v>6</v>
      </c>
      <c r="B7" s="2" t="s">
        <v>12</v>
      </c>
      <c r="C7" s="2" t="s">
        <v>43</v>
      </c>
      <c r="D7" s="2" t="s">
        <v>44</v>
      </c>
      <c r="E7" s="2" t="s">
        <v>15</v>
      </c>
      <c r="F7" s="2" t="s">
        <v>16</v>
      </c>
      <c r="G7" s="2" t="s">
        <v>45</v>
      </c>
      <c r="H7" s="2" t="s">
        <v>18</v>
      </c>
      <c r="I7" s="2" t="s">
        <v>46</v>
      </c>
      <c r="J7" s="2" t="s">
        <v>47</v>
      </c>
      <c r="K7" s="3" t="s">
        <v>21</v>
      </c>
      <c r="L7" s="2"/>
    </row>
    <row r="8" customFormat="false" ht="23.85" hidden="false" customHeight="false" outlineLevel="0" collapsed="false">
      <c r="A8" s="2" t="n">
        <v>7</v>
      </c>
      <c r="B8" s="2" t="s">
        <v>12</v>
      </c>
      <c r="C8" s="2" t="s">
        <v>48</v>
      </c>
      <c r="D8" s="2" t="s">
        <v>49</v>
      </c>
      <c r="E8" s="2" t="s">
        <v>50</v>
      </c>
      <c r="F8" s="2" t="s">
        <v>16</v>
      </c>
      <c r="G8" s="2" t="s">
        <v>17</v>
      </c>
      <c r="H8" s="2" t="s">
        <v>51</v>
      </c>
      <c r="I8" s="2" t="s">
        <v>52</v>
      </c>
      <c r="J8" s="2" t="s">
        <v>53</v>
      </c>
      <c r="K8" s="3" t="s">
        <v>21</v>
      </c>
      <c r="L8" s="2"/>
    </row>
    <row r="9" customFormat="false" ht="23.85" hidden="false" customHeight="false" outlineLevel="0" collapsed="false">
      <c r="A9" s="2" t="n">
        <v>8</v>
      </c>
      <c r="B9" s="2" t="s">
        <v>12</v>
      </c>
      <c r="C9" s="2" t="s">
        <v>54</v>
      </c>
      <c r="D9" s="2" t="s">
        <v>55</v>
      </c>
      <c r="E9" s="2" t="s">
        <v>56</v>
      </c>
      <c r="F9" s="2" t="s">
        <v>57</v>
      </c>
      <c r="G9" s="2" t="s">
        <v>40</v>
      </c>
      <c r="H9" s="2" t="s">
        <v>51</v>
      </c>
      <c r="I9" s="2" t="s">
        <v>58</v>
      </c>
      <c r="J9" s="2" t="s">
        <v>59</v>
      </c>
      <c r="K9" s="3" t="s">
        <v>21</v>
      </c>
      <c r="L9" s="2" t="s">
        <v>60</v>
      </c>
    </row>
    <row r="10" customFormat="false" ht="23.85" hidden="false" customHeight="false" outlineLevel="0" collapsed="false">
      <c r="A10" s="2" t="n">
        <v>9</v>
      </c>
      <c r="B10" s="2" t="s">
        <v>12</v>
      </c>
      <c r="C10" s="2" t="s">
        <v>61</v>
      </c>
      <c r="D10" s="2" t="s">
        <v>62</v>
      </c>
      <c r="E10" s="2" t="s">
        <v>63</v>
      </c>
      <c r="F10" s="2" t="s">
        <v>16</v>
      </c>
      <c r="G10" s="2" t="s">
        <v>45</v>
      </c>
      <c r="H10" s="2" t="s">
        <v>51</v>
      </c>
      <c r="I10" s="2" t="s">
        <v>64</v>
      </c>
      <c r="J10" s="2" t="s">
        <v>65</v>
      </c>
      <c r="K10" s="3" t="s">
        <v>21</v>
      </c>
      <c r="L10" s="2"/>
    </row>
    <row r="11" customFormat="false" ht="23.85" hidden="false" customHeight="false" outlineLevel="0" collapsed="false">
      <c r="A11" s="2" t="n">
        <v>10</v>
      </c>
      <c r="B11" s="2" t="s">
        <v>12</v>
      </c>
      <c r="C11" s="2" t="s">
        <v>66</v>
      </c>
      <c r="D11" s="2" t="s">
        <v>67</v>
      </c>
      <c r="E11" s="2" t="s">
        <v>56</v>
      </c>
      <c r="F11" s="2" t="s">
        <v>57</v>
      </c>
      <c r="G11" s="2" t="s">
        <v>40</v>
      </c>
      <c r="H11" s="2" t="s">
        <v>68</v>
      </c>
      <c r="I11" s="2" t="s">
        <v>69</v>
      </c>
      <c r="J11" s="2" t="s">
        <v>70</v>
      </c>
      <c r="K11" s="3" t="s">
        <v>21</v>
      </c>
      <c r="L11" s="2" t="s">
        <v>60</v>
      </c>
    </row>
    <row r="12" customFormat="false" ht="23.85" hidden="false" customHeight="false" outlineLevel="0" collapsed="false">
      <c r="A12" s="2" t="n">
        <v>11</v>
      </c>
      <c r="B12" s="2" t="s">
        <v>12</v>
      </c>
      <c r="C12" s="2" t="s">
        <v>71</v>
      </c>
      <c r="D12" s="2" t="s">
        <v>72</v>
      </c>
      <c r="E12" s="2" t="s">
        <v>15</v>
      </c>
      <c r="F12" s="2" t="s">
        <v>16</v>
      </c>
      <c r="G12" s="2" t="s">
        <v>45</v>
      </c>
      <c r="H12" s="2" t="s">
        <v>18</v>
      </c>
      <c r="I12" s="2" t="s">
        <v>73</v>
      </c>
      <c r="J12" s="2" t="s">
        <v>42</v>
      </c>
      <c r="K12" s="3" t="s">
        <v>21</v>
      </c>
      <c r="L12" s="2"/>
    </row>
    <row r="13" customFormat="false" ht="23.85" hidden="false" customHeight="false" outlineLevel="0" collapsed="false">
      <c r="A13" s="2" t="n">
        <v>12</v>
      </c>
      <c r="B13" s="2" t="s">
        <v>12</v>
      </c>
      <c r="C13" s="2" t="s">
        <v>74</v>
      </c>
      <c r="D13" s="2" t="s">
        <v>75</v>
      </c>
      <c r="E13" s="2" t="s">
        <v>76</v>
      </c>
      <c r="F13" s="2" t="s">
        <v>57</v>
      </c>
      <c r="G13" s="2" t="s">
        <v>40</v>
      </c>
      <c r="H13" s="2" t="s">
        <v>68</v>
      </c>
      <c r="I13" s="2" t="s">
        <v>77</v>
      </c>
      <c r="J13" s="2" t="s">
        <v>65</v>
      </c>
      <c r="K13" s="3" t="s">
        <v>21</v>
      </c>
      <c r="L13" s="2"/>
    </row>
    <row r="14" customFormat="false" ht="15" hidden="false" customHeight="false" outlineLevel="0" collapsed="false">
      <c r="A14" s="2" t="n">
        <v>13</v>
      </c>
      <c r="B14" s="2" t="s">
        <v>78</v>
      </c>
      <c r="C14" s="2" t="s">
        <v>79</v>
      </c>
      <c r="D14" s="2" t="s">
        <v>80</v>
      </c>
      <c r="E14" s="2" t="s">
        <v>15</v>
      </c>
      <c r="F14" s="2" t="s">
        <v>16</v>
      </c>
      <c r="G14" s="2" t="s">
        <v>40</v>
      </c>
      <c r="H14" s="2" t="s">
        <v>18</v>
      </c>
      <c r="I14" s="2" t="s">
        <v>81</v>
      </c>
      <c r="J14" s="2" t="s">
        <v>82</v>
      </c>
      <c r="K14" s="3" t="s">
        <v>21</v>
      </c>
      <c r="L14" s="2"/>
    </row>
    <row r="15" customFormat="false" ht="23.85" hidden="false" customHeight="false" outlineLevel="0" collapsed="false">
      <c r="A15" s="2" t="n">
        <v>14</v>
      </c>
      <c r="B15" s="2" t="s">
        <v>78</v>
      </c>
      <c r="C15" s="2" t="s">
        <v>83</v>
      </c>
      <c r="D15" s="2" t="s">
        <v>84</v>
      </c>
      <c r="E15" s="2" t="s">
        <v>15</v>
      </c>
      <c r="F15" s="2" t="s">
        <v>16</v>
      </c>
      <c r="G15" s="2" t="s">
        <v>40</v>
      </c>
      <c r="H15" s="2" t="s">
        <v>18</v>
      </c>
      <c r="I15" s="2" t="s">
        <v>85</v>
      </c>
      <c r="J15" s="2" t="s">
        <v>86</v>
      </c>
      <c r="K15" s="3" t="s">
        <v>21</v>
      </c>
      <c r="L15" s="2" t="s">
        <v>87</v>
      </c>
    </row>
    <row r="16" customFormat="false" ht="15" hidden="false" customHeight="false" outlineLevel="0" collapsed="false">
      <c r="A16" s="2" t="n">
        <v>15</v>
      </c>
      <c r="B16" s="2" t="s">
        <v>78</v>
      </c>
      <c r="C16" s="2" t="s">
        <v>88</v>
      </c>
      <c r="D16" s="2" t="s">
        <v>89</v>
      </c>
      <c r="E16" s="2" t="s">
        <v>56</v>
      </c>
      <c r="F16" s="2" t="s">
        <v>57</v>
      </c>
      <c r="G16" s="2" t="s">
        <v>17</v>
      </c>
      <c r="H16" s="2" t="s">
        <v>51</v>
      </c>
      <c r="I16" s="2" t="s">
        <v>90</v>
      </c>
      <c r="J16" s="2" t="s">
        <v>91</v>
      </c>
      <c r="K16" s="3" t="s">
        <v>21</v>
      </c>
      <c r="L16" s="2"/>
    </row>
    <row r="17" customFormat="false" ht="15" hidden="false" customHeight="false" outlineLevel="0" collapsed="false">
      <c r="A17" s="2" t="n">
        <v>16</v>
      </c>
      <c r="B17" s="2" t="s">
        <v>78</v>
      </c>
      <c r="C17" s="2" t="s">
        <v>92</v>
      </c>
      <c r="D17" s="2" t="s">
        <v>93</v>
      </c>
      <c r="E17" s="2" t="s">
        <v>94</v>
      </c>
      <c r="F17" s="2" t="s">
        <v>57</v>
      </c>
      <c r="G17" s="2" t="s">
        <v>40</v>
      </c>
      <c r="H17" s="2" t="s">
        <v>51</v>
      </c>
      <c r="I17" s="2" t="s">
        <v>95</v>
      </c>
      <c r="J17" s="2" t="s">
        <v>96</v>
      </c>
      <c r="K17" s="2" t="s">
        <v>97</v>
      </c>
      <c r="L17" s="2"/>
    </row>
    <row r="18" customFormat="false" ht="15" hidden="false" customHeight="false" outlineLevel="0" collapsed="false">
      <c r="A18" s="2" t="n">
        <v>17</v>
      </c>
      <c r="B18" s="2" t="s">
        <v>78</v>
      </c>
      <c r="C18" s="2" t="s">
        <v>98</v>
      </c>
      <c r="D18" s="2" t="s">
        <v>99</v>
      </c>
      <c r="E18" s="2" t="s">
        <v>56</v>
      </c>
      <c r="F18" s="2" t="s">
        <v>57</v>
      </c>
      <c r="G18" s="2" t="s">
        <v>45</v>
      </c>
      <c r="H18" s="2" t="s">
        <v>68</v>
      </c>
      <c r="I18" s="2" t="s">
        <v>100</v>
      </c>
      <c r="J18" s="2" t="s">
        <v>101</v>
      </c>
      <c r="K18" s="2" t="s">
        <v>97</v>
      </c>
      <c r="L18" s="2"/>
    </row>
    <row r="19" customFormat="false" ht="15" hidden="false" customHeight="false" outlineLevel="0" collapsed="false">
      <c r="A19" s="2" t="n">
        <v>18</v>
      </c>
      <c r="B19" s="2" t="s">
        <v>78</v>
      </c>
      <c r="C19" s="2" t="s">
        <v>102</v>
      </c>
      <c r="D19" s="2" t="s">
        <v>103</v>
      </c>
      <c r="E19" s="2" t="s">
        <v>76</v>
      </c>
      <c r="F19" s="2" t="s">
        <v>57</v>
      </c>
      <c r="G19" s="2" t="s">
        <v>40</v>
      </c>
      <c r="H19" s="2" t="s">
        <v>68</v>
      </c>
      <c r="I19" s="2" t="s">
        <v>104</v>
      </c>
      <c r="J19" s="2" t="s">
        <v>105</v>
      </c>
      <c r="K19" s="2" t="s">
        <v>97</v>
      </c>
      <c r="L19" s="2"/>
    </row>
    <row r="20" customFormat="false" ht="15" hidden="false" customHeight="false" outlineLevel="0" collapsed="false">
      <c r="A20" s="2" t="n">
        <v>20</v>
      </c>
      <c r="B20" s="2" t="s">
        <v>78</v>
      </c>
      <c r="C20" s="2" t="s">
        <v>106</v>
      </c>
      <c r="D20" s="2" t="s">
        <v>107</v>
      </c>
      <c r="E20" s="2" t="s">
        <v>108</v>
      </c>
      <c r="F20" s="2" t="s">
        <v>57</v>
      </c>
      <c r="G20" s="2" t="s">
        <v>40</v>
      </c>
      <c r="H20" s="2" t="s">
        <v>68</v>
      </c>
      <c r="I20" s="2" t="s">
        <v>109</v>
      </c>
      <c r="J20" s="2" t="s">
        <v>110</v>
      </c>
      <c r="K20" s="2" t="s">
        <v>97</v>
      </c>
      <c r="L20" s="2"/>
    </row>
    <row r="21" customFormat="false" ht="15" hidden="false" customHeight="false" outlineLevel="0" collapsed="false">
      <c r="A21" s="2" t="n">
        <v>21</v>
      </c>
      <c r="B21" s="2" t="s">
        <v>78</v>
      </c>
      <c r="C21" s="2" t="s">
        <v>111</v>
      </c>
      <c r="D21" s="2" t="s">
        <v>112</v>
      </c>
      <c r="E21" s="2" t="s">
        <v>50</v>
      </c>
      <c r="F21" s="2" t="s">
        <v>16</v>
      </c>
      <c r="G21" s="2" t="s">
        <v>40</v>
      </c>
      <c r="H21" s="2" t="s">
        <v>51</v>
      </c>
      <c r="I21" s="2" t="s">
        <v>113</v>
      </c>
      <c r="J21" s="2" t="s">
        <v>114</v>
      </c>
      <c r="K21" s="2" t="s">
        <v>97</v>
      </c>
      <c r="L21" s="2"/>
    </row>
    <row r="22" customFormat="false" ht="15" hidden="false" customHeight="false" outlineLevel="0" collapsed="false">
      <c r="A22" s="2" t="n">
        <v>22</v>
      </c>
      <c r="B22" s="2" t="s">
        <v>78</v>
      </c>
      <c r="C22" s="2" t="s">
        <v>115</v>
      </c>
      <c r="D22" s="2" t="s">
        <v>116</v>
      </c>
      <c r="E22" s="2" t="s">
        <v>76</v>
      </c>
      <c r="F22" s="2" t="s">
        <v>57</v>
      </c>
      <c r="G22" s="2" t="s">
        <v>40</v>
      </c>
      <c r="H22" s="2" t="s">
        <v>68</v>
      </c>
      <c r="I22" s="2" t="s">
        <v>117</v>
      </c>
      <c r="J22" s="2" t="s">
        <v>105</v>
      </c>
      <c r="K22" s="2" t="s">
        <v>97</v>
      </c>
      <c r="L22" s="2"/>
    </row>
    <row r="23" customFormat="false" ht="23.85" hidden="false" customHeight="false" outlineLevel="0" collapsed="false">
      <c r="A23" s="2" t="n">
        <v>27</v>
      </c>
      <c r="B23" s="2" t="s">
        <v>118</v>
      </c>
      <c r="C23" s="2" t="s">
        <v>119</v>
      </c>
      <c r="D23" s="2" t="s">
        <v>120</v>
      </c>
      <c r="E23" s="2" t="s">
        <v>76</v>
      </c>
      <c r="F23" s="2" t="s">
        <v>57</v>
      </c>
      <c r="G23" s="2" t="s">
        <v>40</v>
      </c>
      <c r="H23" s="2" t="s">
        <v>68</v>
      </c>
      <c r="I23" s="2" t="s">
        <v>121</v>
      </c>
      <c r="J23" s="2" t="s">
        <v>122</v>
      </c>
      <c r="K23" s="2" t="s">
        <v>97</v>
      </c>
      <c r="L23" s="2" t="s">
        <v>123</v>
      </c>
    </row>
    <row r="24" customFormat="false" ht="15" hidden="false" customHeight="false" outlineLevel="0" collapsed="false">
      <c r="A24" s="2" t="n">
        <v>31</v>
      </c>
      <c r="B24" s="2" t="s">
        <v>118</v>
      </c>
      <c r="C24" s="2" t="s">
        <v>124</v>
      </c>
      <c r="D24" s="2" t="s">
        <v>125</v>
      </c>
      <c r="E24" s="2" t="s">
        <v>76</v>
      </c>
      <c r="F24" s="2" t="s">
        <v>57</v>
      </c>
      <c r="G24" s="2" t="s">
        <v>40</v>
      </c>
      <c r="H24" s="2" t="s">
        <v>68</v>
      </c>
      <c r="I24" s="2" t="s">
        <v>126</v>
      </c>
      <c r="J24" s="2" t="s">
        <v>127</v>
      </c>
      <c r="K24" s="2" t="s">
        <v>97</v>
      </c>
      <c r="L24" s="2" t="s">
        <v>128</v>
      </c>
    </row>
    <row r="25" customFormat="false" ht="15" hidden="false" customHeight="false" outlineLevel="0" collapsed="false">
      <c r="A25" s="2" t="n">
        <v>33</v>
      </c>
      <c r="B25" s="2" t="s">
        <v>129</v>
      </c>
      <c r="C25" s="2" t="s">
        <v>130</v>
      </c>
      <c r="D25" s="2" t="s">
        <v>131</v>
      </c>
      <c r="E25" s="2" t="s">
        <v>30</v>
      </c>
      <c r="F25" s="2" t="s">
        <v>16</v>
      </c>
      <c r="G25" s="2" t="s">
        <v>40</v>
      </c>
      <c r="H25" s="2" t="s">
        <v>18</v>
      </c>
      <c r="I25" s="2" t="s">
        <v>132</v>
      </c>
      <c r="J25" s="2" t="s">
        <v>133</v>
      </c>
      <c r="K25" s="2" t="s">
        <v>97</v>
      </c>
      <c r="L25" s="2"/>
    </row>
    <row r="26" customFormat="false" ht="15" hidden="false" customHeight="false" outlineLevel="0" collapsed="false">
      <c r="A26" s="2" t="n">
        <v>34</v>
      </c>
      <c r="B26" s="2" t="s">
        <v>129</v>
      </c>
      <c r="C26" s="2" t="s">
        <v>134</v>
      </c>
      <c r="D26" s="2" t="s">
        <v>135</v>
      </c>
      <c r="E26" s="2" t="s">
        <v>136</v>
      </c>
      <c r="F26" s="2" t="s">
        <v>16</v>
      </c>
      <c r="G26" s="2" t="s">
        <v>40</v>
      </c>
      <c r="H26" s="2" t="s">
        <v>18</v>
      </c>
      <c r="I26" s="2" t="s">
        <v>137</v>
      </c>
      <c r="J26" s="2" t="s">
        <v>138</v>
      </c>
      <c r="K26" s="2" t="s">
        <v>97</v>
      </c>
      <c r="L26" s="2"/>
    </row>
    <row r="27" customFormat="false" ht="15" hidden="false" customHeight="false" outlineLevel="0" collapsed="false">
      <c r="A27" s="2" t="n">
        <v>35</v>
      </c>
      <c r="B27" s="2" t="s">
        <v>129</v>
      </c>
      <c r="C27" s="2" t="s">
        <v>139</v>
      </c>
      <c r="D27" s="2" t="s">
        <v>140</v>
      </c>
      <c r="E27" s="2" t="s">
        <v>141</v>
      </c>
      <c r="F27" s="2" t="s">
        <v>16</v>
      </c>
      <c r="G27" s="2" t="s">
        <v>40</v>
      </c>
      <c r="H27" s="2" t="s">
        <v>18</v>
      </c>
      <c r="I27" s="2" t="s">
        <v>142</v>
      </c>
      <c r="J27" s="2" t="s">
        <v>143</v>
      </c>
      <c r="K27" s="2" t="s">
        <v>97</v>
      </c>
      <c r="L27" s="2"/>
    </row>
    <row r="28" customFormat="false" ht="23.85" hidden="false" customHeight="false" outlineLevel="0" collapsed="false">
      <c r="A28" s="2" t="n">
        <v>36</v>
      </c>
      <c r="B28" s="2" t="s">
        <v>129</v>
      </c>
      <c r="C28" s="2" t="s">
        <v>144</v>
      </c>
      <c r="D28" s="2" t="s">
        <v>145</v>
      </c>
      <c r="E28" s="2" t="s">
        <v>15</v>
      </c>
      <c r="F28" s="2" t="s">
        <v>16</v>
      </c>
      <c r="G28" s="2" t="s">
        <v>40</v>
      </c>
      <c r="H28" s="2" t="s">
        <v>18</v>
      </c>
      <c r="I28" s="2" t="s">
        <v>146</v>
      </c>
      <c r="J28" s="2" t="s">
        <v>147</v>
      </c>
      <c r="K28" s="2" t="s">
        <v>97</v>
      </c>
      <c r="L28" s="2" t="s">
        <v>148</v>
      </c>
    </row>
    <row r="29" customFormat="false" ht="15" hidden="false" customHeight="false" outlineLevel="0" collapsed="false">
      <c r="A29" s="2" t="n">
        <v>37</v>
      </c>
      <c r="B29" s="2" t="s">
        <v>129</v>
      </c>
      <c r="C29" s="2" t="s">
        <v>149</v>
      </c>
      <c r="D29" s="2" t="s">
        <v>150</v>
      </c>
      <c r="E29" s="2" t="s">
        <v>94</v>
      </c>
      <c r="F29" s="2" t="s">
        <v>16</v>
      </c>
      <c r="G29" s="2" t="s">
        <v>40</v>
      </c>
      <c r="H29" s="2" t="s">
        <v>51</v>
      </c>
      <c r="I29" s="2" t="s">
        <v>151</v>
      </c>
      <c r="J29" s="2" t="s">
        <v>152</v>
      </c>
      <c r="K29" s="2" t="s">
        <v>97</v>
      </c>
      <c r="L29" s="2"/>
    </row>
    <row r="30" customFormat="false" ht="15" hidden="false" customHeight="false" outlineLevel="0" collapsed="false">
      <c r="A30" s="2" t="n">
        <v>38</v>
      </c>
      <c r="B30" s="2" t="s">
        <v>129</v>
      </c>
      <c r="C30" s="2" t="s">
        <v>153</v>
      </c>
      <c r="D30" s="2" t="s">
        <v>154</v>
      </c>
      <c r="E30" s="2" t="s">
        <v>108</v>
      </c>
      <c r="F30" s="2" t="s">
        <v>57</v>
      </c>
      <c r="G30" s="2" t="s">
        <v>40</v>
      </c>
      <c r="H30" s="2" t="s">
        <v>68</v>
      </c>
      <c r="I30" s="2" t="s">
        <v>155</v>
      </c>
      <c r="J30" s="2" t="s">
        <v>156</v>
      </c>
      <c r="K30" s="2" t="s">
        <v>97</v>
      </c>
      <c r="L30" s="2"/>
    </row>
    <row r="31" customFormat="false" ht="23.85" hidden="false" customHeight="false" outlineLevel="0" collapsed="false">
      <c r="A31" s="2" t="n">
        <v>39</v>
      </c>
      <c r="B31" s="2" t="s">
        <v>129</v>
      </c>
      <c r="C31" s="2" t="s">
        <v>157</v>
      </c>
      <c r="D31" s="2" t="s">
        <v>158</v>
      </c>
      <c r="E31" s="2" t="s">
        <v>159</v>
      </c>
      <c r="F31" s="2" t="s">
        <v>57</v>
      </c>
      <c r="G31" s="2" t="s">
        <v>40</v>
      </c>
      <c r="H31" s="2" t="s">
        <v>51</v>
      </c>
      <c r="I31" s="2" t="s">
        <v>160</v>
      </c>
      <c r="J31" s="2" t="s">
        <v>161</v>
      </c>
      <c r="K31" s="2" t="s">
        <v>97</v>
      </c>
      <c r="L31" s="2" t="s">
        <v>162</v>
      </c>
    </row>
    <row r="32" customFormat="false" ht="15" hidden="false" customHeight="false" outlineLevel="0" collapsed="false">
      <c r="A32" s="2" t="n">
        <v>40</v>
      </c>
      <c r="B32" s="2" t="s">
        <v>129</v>
      </c>
      <c r="C32" s="2" t="s">
        <v>163</v>
      </c>
      <c r="D32" s="2" t="s">
        <v>164</v>
      </c>
      <c r="E32" s="2" t="s">
        <v>56</v>
      </c>
      <c r="F32" s="2" t="s">
        <v>57</v>
      </c>
      <c r="G32" s="2" t="s">
        <v>40</v>
      </c>
      <c r="H32" s="2" t="s">
        <v>51</v>
      </c>
      <c r="I32" s="2" t="s">
        <v>165</v>
      </c>
      <c r="J32" s="2" t="s">
        <v>166</v>
      </c>
      <c r="K32" s="2" t="s">
        <v>97</v>
      </c>
      <c r="L32" s="2"/>
    </row>
    <row r="33" customFormat="false" ht="15" hidden="false" customHeight="false" outlineLevel="0" collapsed="false">
      <c r="A33" s="2" t="n">
        <v>41</v>
      </c>
      <c r="B33" s="2" t="s">
        <v>129</v>
      </c>
      <c r="C33" s="2" t="s">
        <v>167</v>
      </c>
      <c r="D33" s="2" t="s">
        <v>168</v>
      </c>
      <c r="E33" s="2" t="s">
        <v>76</v>
      </c>
      <c r="F33" s="2" t="s">
        <v>57</v>
      </c>
      <c r="G33" s="2" t="s">
        <v>40</v>
      </c>
      <c r="H33" s="2" t="s">
        <v>68</v>
      </c>
      <c r="I33" s="2" t="s">
        <v>169</v>
      </c>
      <c r="J33" s="2" t="s">
        <v>170</v>
      </c>
      <c r="K33" s="2" t="s">
        <v>97</v>
      </c>
      <c r="L33" s="2"/>
    </row>
    <row r="34" customFormat="false" ht="15" hidden="false" customHeight="false" outlineLevel="0" collapsed="false">
      <c r="A34" s="2" t="n">
        <v>42</v>
      </c>
      <c r="B34" s="2" t="s">
        <v>129</v>
      </c>
      <c r="C34" s="2" t="s">
        <v>171</v>
      </c>
      <c r="D34" s="2" t="s">
        <v>172</v>
      </c>
      <c r="E34" s="2" t="s">
        <v>56</v>
      </c>
      <c r="F34" s="2" t="s">
        <v>57</v>
      </c>
      <c r="G34" s="2" t="s">
        <v>40</v>
      </c>
      <c r="H34" s="2" t="s">
        <v>51</v>
      </c>
      <c r="I34" s="2" t="s">
        <v>173</v>
      </c>
      <c r="J34" s="2" t="s">
        <v>174</v>
      </c>
      <c r="K34" s="2" t="s">
        <v>97</v>
      </c>
      <c r="L34" s="2"/>
    </row>
    <row r="35" customFormat="false" ht="23.85" hidden="false" customHeight="false" outlineLevel="0" collapsed="false">
      <c r="A35" s="2" t="n">
        <v>43</v>
      </c>
      <c r="B35" s="2" t="s">
        <v>175</v>
      </c>
      <c r="C35" s="2" t="s">
        <v>176</v>
      </c>
      <c r="D35" s="2" t="s">
        <v>177</v>
      </c>
      <c r="E35" s="2" t="s">
        <v>56</v>
      </c>
      <c r="F35" s="2" t="s">
        <v>57</v>
      </c>
      <c r="G35" s="2" t="s">
        <v>40</v>
      </c>
      <c r="H35" s="2" t="s">
        <v>18</v>
      </c>
      <c r="I35" s="2" t="s">
        <v>178</v>
      </c>
      <c r="J35" s="2" t="s">
        <v>179</v>
      </c>
      <c r="K35" s="2" t="s">
        <v>97</v>
      </c>
      <c r="L35" s="2" t="s">
        <v>180</v>
      </c>
    </row>
    <row r="36" customFormat="false" ht="23.85" hidden="false" customHeight="false" outlineLevel="0" collapsed="false">
      <c r="A36" s="2" t="n">
        <v>44</v>
      </c>
      <c r="B36" s="2" t="s">
        <v>175</v>
      </c>
      <c r="C36" s="2" t="s">
        <v>181</v>
      </c>
      <c r="D36" s="2" t="s">
        <v>182</v>
      </c>
      <c r="E36" s="2" t="s">
        <v>159</v>
      </c>
      <c r="F36" s="2" t="s">
        <v>57</v>
      </c>
      <c r="G36" s="2" t="s">
        <v>40</v>
      </c>
      <c r="H36" s="2" t="s">
        <v>51</v>
      </c>
      <c r="I36" s="2" t="s">
        <v>183</v>
      </c>
      <c r="J36" s="2" t="s">
        <v>122</v>
      </c>
      <c r="K36" s="2" t="s">
        <v>97</v>
      </c>
      <c r="L36" s="2" t="s">
        <v>184</v>
      </c>
    </row>
    <row r="37" customFormat="false" ht="15" hidden="false" customHeight="false" outlineLevel="0" collapsed="false">
      <c r="A37" s="2" t="n">
        <v>45</v>
      </c>
      <c r="B37" s="2" t="s">
        <v>175</v>
      </c>
      <c r="C37" s="2" t="s">
        <v>185</v>
      </c>
      <c r="D37" s="2" t="s">
        <v>186</v>
      </c>
      <c r="E37" s="2" t="s">
        <v>76</v>
      </c>
      <c r="F37" s="2" t="s">
        <v>57</v>
      </c>
      <c r="G37" s="2" t="s">
        <v>40</v>
      </c>
      <c r="H37" s="2" t="s">
        <v>68</v>
      </c>
      <c r="I37" s="2" t="s">
        <v>187</v>
      </c>
      <c r="J37" s="2" t="s">
        <v>127</v>
      </c>
      <c r="K37" s="2" t="s">
        <v>97</v>
      </c>
      <c r="L37" s="2"/>
    </row>
    <row r="38" customFormat="false" ht="15" hidden="false" customHeight="false" outlineLevel="0" collapsed="false">
      <c r="A38" s="2" t="n">
        <v>46</v>
      </c>
      <c r="B38" s="2" t="s">
        <v>175</v>
      </c>
      <c r="C38" s="2" t="s">
        <v>188</v>
      </c>
      <c r="D38" s="2" t="s">
        <v>189</v>
      </c>
      <c r="E38" s="2" t="s">
        <v>76</v>
      </c>
      <c r="F38" s="2" t="s">
        <v>57</v>
      </c>
      <c r="G38" s="2" t="s">
        <v>40</v>
      </c>
      <c r="H38" s="2" t="s">
        <v>68</v>
      </c>
      <c r="I38" s="2" t="s">
        <v>190</v>
      </c>
      <c r="J38" s="2" t="s">
        <v>191</v>
      </c>
      <c r="K38" s="2" t="s">
        <v>97</v>
      </c>
      <c r="L38" s="2"/>
    </row>
    <row r="39" customFormat="false" ht="23.85" hidden="false" customHeight="false" outlineLevel="0" collapsed="false">
      <c r="A39" s="2" t="n">
        <v>47</v>
      </c>
      <c r="B39" s="2" t="s">
        <v>175</v>
      </c>
      <c r="C39" s="2" t="s">
        <v>192</v>
      </c>
      <c r="D39" s="2" t="s">
        <v>193</v>
      </c>
      <c r="E39" s="2" t="s">
        <v>76</v>
      </c>
      <c r="F39" s="2" t="s">
        <v>57</v>
      </c>
      <c r="G39" s="2" t="s">
        <v>17</v>
      </c>
      <c r="H39" s="2" t="s">
        <v>68</v>
      </c>
      <c r="I39" s="2" t="s">
        <v>194</v>
      </c>
      <c r="J39" s="2" t="s">
        <v>122</v>
      </c>
      <c r="K39" s="2" t="s">
        <v>97</v>
      </c>
      <c r="L39" s="2" t="s">
        <v>195</v>
      </c>
    </row>
    <row r="40" customFormat="false" ht="15" hidden="false" customHeight="false" outlineLevel="0" collapsed="false">
      <c r="A40" s="2" t="n">
        <v>48</v>
      </c>
      <c r="B40" s="2" t="s">
        <v>175</v>
      </c>
      <c r="C40" s="2" t="s">
        <v>196</v>
      </c>
      <c r="D40" s="2" t="s">
        <v>197</v>
      </c>
      <c r="E40" s="2" t="s">
        <v>56</v>
      </c>
      <c r="F40" s="2" t="s">
        <v>57</v>
      </c>
      <c r="G40" s="2" t="s">
        <v>40</v>
      </c>
      <c r="H40" s="2" t="s">
        <v>51</v>
      </c>
      <c r="I40" s="2" t="s">
        <v>198</v>
      </c>
      <c r="J40" s="2" t="s">
        <v>199</v>
      </c>
      <c r="K40" s="2" t="s">
        <v>97</v>
      </c>
      <c r="L40" s="2"/>
    </row>
    <row r="41" customFormat="false" ht="15" hidden="false" customHeight="false" outlineLevel="0" collapsed="false">
      <c r="A41" s="2" t="n">
        <v>49</v>
      </c>
      <c r="B41" s="2" t="s">
        <v>175</v>
      </c>
      <c r="C41" s="2" t="s">
        <v>200</v>
      </c>
      <c r="D41" s="2" t="s">
        <v>201</v>
      </c>
      <c r="E41" s="2" t="s">
        <v>76</v>
      </c>
      <c r="F41" s="2" t="s">
        <v>57</v>
      </c>
      <c r="G41" s="2" t="s">
        <v>40</v>
      </c>
      <c r="H41" s="2" t="s">
        <v>51</v>
      </c>
      <c r="I41" s="2" t="s">
        <v>202</v>
      </c>
      <c r="J41" s="2" t="s">
        <v>203</v>
      </c>
      <c r="K41" s="2" t="s">
        <v>97</v>
      </c>
      <c r="L41" s="2"/>
    </row>
    <row r="42" customFormat="false" ht="15" hidden="false" customHeight="false" outlineLevel="0" collapsed="false">
      <c r="A42" s="2" t="n">
        <v>50</v>
      </c>
      <c r="B42" s="2" t="s">
        <v>175</v>
      </c>
      <c r="C42" s="2" t="s">
        <v>204</v>
      </c>
      <c r="D42" s="2" t="s">
        <v>205</v>
      </c>
      <c r="E42" s="2" t="s">
        <v>108</v>
      </c>
      <c r="F42" s="2" t="s">
        <v>57</v>
      </c>
      <c r="G42" s="2" t="s">
        <v>40</v>
      </c>
      <c r="H42" s="2" t="s">
        <v>68</v>
      </c>
      <c r="I42" s="2" t="s">
        <v>206</v>
      </c>
      <c r="J42" s="2" t="s">
        <v>207</v>
      </c>
      <c r="K42" s="2" t="s">
        <v>97</v>
      </c>
      <c r="L42" s="2"/>
    </row>
    <row r="43" customFormat="false" ht="23.85" hidden="false" customHeight="false" outlineLevel="0" collapsed="false">
      <c r="A43" s="2" t="n">
        <v>51</v>
      </c>
      <c r="B43" s="2" t="s">
        <v>175</v>
      </c>
      <c r="C43" s="2" t="s">
        <v>208</v>
      </c>
      <c r="D43" s="2" t="s">
        <v>209</v>
      </c>
      <c r="E43" s="2" t="s">
        <v>108</v>
      </c>
      <c r="F43" s="2" t="s">
        <v>57</v>
      </c>
      <c r="G43" s="2" t="s">
        <v>40</v>
      </c>
      <c r="H43" s="2" t="s">
        <v>68</v>
      </c>
      <c r="I43" s="2" t="s">
        <v>210</v>
      </c>
      <c r="J43" s="2" t="s">
        <v>122</v>
      </c>
      <c r="K43" s="2" t="s">
        <v>97</v>
      </c>
      <c r="L43" s="2" t="s">
        <v>211</v>
      </c>
    </row>
    <row r="44" customFormat="false" ht="15" hidden="false" customHeight="false" outlineLevel="0" collapsed="false">
      <c r="A44" s="2" t="n">
        <v>52</v>
      </c>
      <c r="B44" s="2" t="s">
        <v>175</v>
      </c>
      <c r="C44" s="2" t="s">
        <v>212</v>
      </c>
      <c r="D44" s="2" t="s">
        <v>213</v>
      </c>
      <c r="E44" s="2" t="s">
        <v>214</v>
      </c>
      <c r="F44" s="2" t="s">
        <v>16</v>
      </c>
      <c r="G44" s="2" t="s">
        <v>40</v>
      </c>
      <c r="H44" s="2" t="s">
        <v>18</v>
      </c>
      <c r="I44" s="2" t="s">
        <v>215</v>
      </c>
      <c r="J44" s="2" t="s">
        <v>216</v>
      </c>
      <c r="K44" s="2" t="s">
        <v>97</v>
      </c>
      <c r="L44" s="2"/>
    </row>
    <row r="45" customFormat="false" ht="15" hidden="false" customHeight="false" outlineLevel="0" collapsed="false">
      <c r="A45" s="2" t="n">
        <v>53</v>
      </c>
      <c r="B45" s="2" t="s">
        <v>217</v>
      </c>
      <c r="C45" s="2" t="s">
        <v>218</v>
      </c>
      <c r="D45" s="2" t="s">
        <v>219</v>
      </c>
      <c r="E45" s="2" t="s">
        <v>24</v>
      </c>
      <c r="F45" s="2" t="s">
        <v>16</v>
      </c>
      <c r="G45" s="2" t="s">
        <v>40</v>
      </c>
      <c r="H45" s="2" t="s">
        <v>18</v>
      </c>
      <c r="I45" s="2" t="s">
        <v>220</v>
      </c>
      <c r="J45" s="2" t="s">
        <v>221</v>
      </c>
      <c r="K45" s="2" t="s">
        <v>97</v>
      </c>
      <c r="L45" s="2"/>
    </row>
    <row r="46" customFormat="false" ht="15" hidden="false" customHeight="false" outlineLevel="0" collapsed="false">
      <c r="A46" s="2" t="n">
        <v>54</v>
      </c>
      <c r="B46" s="2" t="s">
        <v>217</v>
      </c>
      <c r="C46" s="2" t="s">
        <v>222</v>
      </c>
      <c r="D46" s="2" t="s">
        <v>223</v>
      </c>
      <c r="E46" s="2" t="s">
        <v>141</v>
      </c>
      <c r="F46" s="2" t="s">
        <v>16</v>
      </c>
      <c r="G46" s="2" t="s">
        <v>40</v>
      </c>
      <c r="H46" s="2" t="s">
        <v>18</v>
      </c>
      <c r="I46" s="2" t="s">
        <v>224</v>
      </c>
      <c r="J46" s="2" t="s">
        <v>225</v>
      </c>
      <c r="K46" s="2" t="s">
        <v>97</v>
      </c>
      <c r="L46" s="2"/>
    </row>
    <row r="47" customFormat="false" ht="15" hidden="false" customHeight="false" outlineLevel="0" collapsed="false">
      <c r="A47" s="2" t="n">
        <v>55</v>
      </c>
      <c r="B47" s="2" t="s">
        <v>217</v>
      </c>
      <c r="C47" s="2" t="s">
        <v>226</v>
      </c>
      <c r="D47" s="2" t="s">
        <v>227</v>
      </c>
      <c r="E47" s="2" t="s">
        <v>228</v>
      </c>
      <c r="F47" s="2" t="s">
        <v>57</v>
      </c>
      <c r="G47" s="2" t="s">
        <v>40</v>
      </c>
      <c r="H47" s="2" t="s">
        <v>51</v>
      </c>
      <c r="I47" s="2" t="s">
        <v>229</v>
      </c>
      <c r="J47" s="2" t="s">
        <v>230</v>
      </c>
      <c r="K47" s="2" t="s">
        <v>97</v>
      </c>
      <c r="L47" s="2"/>
    </row>
    <row r="48" customFormat="false" ht="15" hidden="false" customHeight="false" outlineLevel="0" collapsed="false">
      <c r="A48" s="2" t="n">
        <v>56</v>
      </c>
      <c r="B48" s="2" t="s">
        <v>217</v>
      </c>
      <c r="C48" s="2" t="s">
        <v>231</v>
      </c>
      <c r="D48" s="2" t="s">
        <v>232</v>
      </c>
      <c r="E48" s="2" t="s">
        <v>76</v>
      </c>
      <c r="F48" s="2" t="s">
        <v>57</v>
      </c>
      <c r="G48" s="2" t="s">
        <v>40</v>
      </c>
      <c r="H48" s="2" t="s">
        <v>68</v>
      </c>
      <c r="I48" s="2" t="s">
        <v>233</v>
      </c>
      <c r="J48" s="2" t="s">
        <v>234</v>
      </c>
      <c r="K48" s="2" t="s">
        <v>97</v>
      </c>
      <c r="L48" s="2"/>
    </row>
    <row r="49" customFormat="false" ht="15" hidden="false" customHeight="false" outlineLevel="0" collapsed="false">
      <c r="A49" s="2" t="n">
        <v>57</v>
      </c>
      <c r="B49" s="2" t="s">
        <v>217</v>
      </c>
      <c r="C49" s="2" t="s">
        <v>235</v>
      </c>
      <c r="D49" s="2" t="s">
        <v>236</v>
      </c>
      <c r="E49" s="2" t="s">
        <v>108</v>
      </c>
      <c r="F49" s="2" t="s">
        <v>57</v>
      </c>
      <c r="G49" s="2" t="s">
        <v>40</v>
      </c>
      <c r="H49" s="2" t="s">
        <v>68</v>
      </c>
      <c r="I49" s="2" t="s">
        <v>237</v>
      </c>
      <c r="J49" s="2" t="s">
        <v>238</v>
      </c>
      <c r="K49" s="2" t="s">
        <v>97</v>
      </c>
      <c r="L49" s="2"/>
    </row>
    <row r="50" customFormat="false" ht="15" hidden="false" customHeight="false" outlineLevel="0" collapsed="false">
      <c r="A50" s="2" t="n">
        <v>59</v>
      </c>
      <c r="B50" s="2" t="s">
        <v>217</v>
      </c>
      <c r="C50" s="2" t="s">
        <v>239</v>
      </c>
      <c r="D50" s="2" t="s">
        <v>240</v>
      </c>
      <c r="E50" s="2" t="s">
        <v>56</v>
      </c>
      <c r="F50" s="2" t="s">
        <v>57</v>
      </c>
      <c r="G50" s="2" t="s">
        <v>40</v>
      </c>
      <c r="H50" s="2" t="s">
        <v>51</v>
      </c>
      <c r="I50" s="2" t="s">
        <v>241</v>
      </c>
      <c r="J50" s="2" t="s">
        <v>242</v>
      </c>
      <c r="K50" s="2" t="s">
        <v>97</v>
      </c>
      <c r="L50" s="2"/>
    </row>
    <row r="51" customFormat="false" ht="15" hidden="false" customHeight="false" outlineLevel="0" collapsed="false">
      <c r="A51" s="2" t="n">
        <v>60</v>
      </c>
      <c r="B51" s="2" t="s">
        <v>217</v>
      </c>
      <c r="C51" s="2" t="s">
        <v>243</v>
      </c>
      <c r="D51" s="2" t="s">
        <v>244</v>
      </c>
      <c r="E51" s="2" t="s">
        <v>56</v>
      </c>
      <c r="F51" s="2" t="s">
        <v>57</v>
      </c>
      <c r="G51" s="2" t="s">
        <v>40</v>
      </c>
      <c r="H51" s="2" t="s">
        <v>51</v>
      </c>
      <c r="I51" s="2" t="s">
        <v>245</v>
      </c>
      <c r="J51" s="2" t="s">
        <v>246</v>
      </c>
      <c r="K51" s="2" t="s">
        <v>97</v>
      </c>
      <c r="L51" s="2"/>
    </row>
    <row r="52" customFormat="false" ht="15" hidden="false" customHeight="false" outlineLevel="0" collapsed="false">
      <c r="A52" s="2" t="n">
        <v>62</v>
      </c>
      <c r="B52" s="2" t="s">
        <v>247</v>
      </c>
      <c r="C52" s="2" t="s">
        <v>248</v>
      </c>
      <c r="D52" s="2" t="s">
        <v>249</v>
      </c>
      <c r="E52" s="2" t="s">
        <v>250</v>
      </c>
      <c r="F52" s="2" t="s">
        <v>16</v>
      </c>
      <c r="G52" s="2" t="s">
        <v>40</v>
      </c>
      <c r="H52" s="2" t="s">
        <v>18</v>
      </c>
      <c r="I52" s="2" t="s">
        <v>251</v>
      </c>
      <c r="J52" s="2" t="s">
        <v>252</v>
      </c>
      <c r="K52" s="2" t="s">
        <v>97</v>
      </c>
      <c r="L52" s="2"/>
    </row>
    <row r="53" customFormat="false" ht="15" hidden="false" customHeight="false" outlineLevel="0" collapsed="false">
      <c r="A53" s="2" t="n">
        <v>63</v>
      </c>
      <c r="B53" s="2" t="s">
        <v>247</v>
      </c>
      <c r="C53" s="2" t="s">
        <v>253</v>
      </c>
      <c r="D53" s="2" t="s">
        <v>254</v>
      </c>
      <c r="E53" s="2" t="s">
        <v>56</v>
      </c>
      <c r="F53" s="2" t="s">
        <v>57</v>
      </c>
      <c r="G53" s="2" t="s">
        <v>40</v>
      </c>
      <c r="H53" s="2" t="s">
        <v>51</v>
      </c>
      <c r="I53" s="2" t="s">
        <v>255</v>
      </c>
      <c r="J53" s="2" t="s">
        <v>256</v>
      </c>
      <c r="K53" s="2" t="s">
        <v>97</v>
      </c>
      <c r="L53" s="2"/>
    </row>
    <row r="54" customFormat="false" ht="15" hidden="false" customHeight="false" outlineLevel="0" collapsed="false">
      <c r="A54" s="2" t="n">
        <v>64</v>
      </c>
      <c r="B54" s="2" t="s">
        <v>247</v>
      </c>
      <c r="C54" s="2" t="s">
        <v>257</v>
      </c>
      <c r="D54" s="2" t="s">
        <v>258</v>
      </c>
      <c r="E54" s="2" t="s">
        <v>56</v>
      </c>
      <c r="F54" s="2" t="s">
        <v>57</v>
      </c>
      <c r="G54" s="2" t="s">
        <v>40</v>
      </c>
      <c r="H54" s="2" t="s">
        <v>51</v>
      </c>
      <c r="I54" s="2" t="s">
        <v>259</v>
      </c>
      <c r="J54" s="2" t="s">
        <v>260</v>
      </c>
      <c r="K54" s="2" t="s">
        <v>97</v>
      </c>
      <c r="L54" s="2"/>
    </row>
    <row r="55" customFormat="false" ht="23.85" hidden="false" customHeight="false" outlineLevel="0" collapsed="false">
      <c r="A55" s="2" t="n">
        <v>65</v>
      </c>
      <c r="B55" s="2" t="s">
        <v>247</v>
      </c>
      <c r="C55" s="2" t="s">
        <v>261</v>
      </c>
      <c r="D55" s="2" t="s">
        <v>262</v>
      </c>
      <c r="E55" s="2" t="s">
        <v>76</v>
      </c>
      <c r="F55" s="2" t="s">
        <v>57</v>
      </c>
      <c r="G55" s="2" t="s">
        <v>40</v>
      </c>
      <c r="H55" s="2" t="s">
        <v>68</v>
      </c>
      <c r="I55" s="2" t="s">
        <v>263</v>
      </c>
      <c r="J55" s="2" t="s">
        <v>264</v>
      </c>
      <c r="K55" s="2" t="s">
        <v>97</v>
      </c>
      <c r="L55" s="2" t="s">
        <v>265</v>
      </c>
    </row>
    <row r="56" customFormat="false" ht="15" hidden="false" customHeight="false" outlineLevel="0" collapsed="false">
      <c r="A56" s="2" t="n">
        <v>67</v>
      </c>
      <c r="B56" s="2" t="s">
        <v>247</v>
      </c>
      <c r="C56" s="2" t="s">
        <v>266</v>
      </c>
      <c r="D56" s="2" t="s">
        <v>267</v>
      </c>
      <c r="E56" s="2" t="s">
        <v>268</v>
      </c>
      <c r="F56" s="2" t="s">
        <v>57</v>
      </c>
      <c r="G56" s="2" t="s">
        <v>40</v>
      </c>
      <c r="H56" s="2" t="s">
        <v>68</v>
      </c>
      <c r="I56" s="2" t="s">
        <v>269</v>
      </c>
      <c r="J56" s="2" t="s">
        <v>270</v>
      </c>
      <c r="K56" s="2" t="s">
        <v>97</v>
      </c>
      <c r="L56" s="2"/>
    </row>
    <row r="57" customFormat="false" ht="15" hidden="false" customHeight="false" outlineLevel="0" collapsed="false">
      <c r="A57" s="2" t="n">
        <v>68</v>
      </c>
      <c r="B57" s="2" t="s">
        <v>247</v>
      </c>
      <c r="C57" s="2" t="s">
        <v>271</v>
      </c>
      <c r="D57" s="2" t="s">
        <v>272</v>
      </c>
      <c r="E57" s="2" t="s">
        <v>108</v>
      </c>
      <c r="F57" s="2" t="s">
        <v>57</v>
      </c>
      <c r="G57" s="2" t="s">
        <v>40</v>
      </c>
      <c r="H57" s="2" t="s">
        <v>68</v>
      </c>
      <c r="I57" s="2" t="s">
        <v>273</v>
      </c>
      <c r="J57" s="2" t="s">
        <v>274</v>
      </c>
      <c r="K57" s="2" t="s">
        <v>97</v>
      </c>
      <c r="L57" s="2" t="s">
        <v>275</v>
      </c>
    </row>
    <row r="58" customFormat="false" ht="15" hidden="false" customHeight="false" outlineLevel="0" collapsed="false">
      <c r="A58" s="2" t="n">
        <v>69</v>
      </c>
      <c r="B58" s="2" t="s">
        <v>276</v>
      </c>
      <c r="C58" s="2" t="s">
        <v>277</v>
      </c>
      <c r="D58" s="2" t="s">
        <v>278</v>
      </c>
      <c r="E58" s="2" t="s">
        <v>141</v>
      </c>
      <c r="F58" s="2" t="s">
        <v>16</v>
      </c>
      <c r="G58" s="2" t="s">
        <v>40</v>
      </c>
      <c r="H58" s="2" t="s">
        <v>18</v>
      </c>
      <c r="I58" s="2" t="s">
        <v>279</v>
      </c>
      <c r="J58" s="2" t="s">
        <v>252</v>
      </c>
      <c r="K58" s="2" t="s">
        <v>97</v>
      </c>
      <c r="L58" s="2"/>
    </row>
    <row r="59" customFormat="false" ht="15" hidden="false" customHeight="false" outlineLevel="0" collapsed="false">
      <c r="A59" s="2" t="n">
        <v>70</v>
      </c>
      <c r="B59" s="2" t="s">
        <v>276</v>
      </c>
      <c r="C59" s="2" t="s">
        <v>280</v>
      </c>
      <c r="D59" s="2" t="s">
        <v>281</v>
      </c>
      <c r="E59" s="2" t="s">
        <v>282</v>
      </c>
      <c r="F59" s="2" t="s">
        <v>16</v>
      </c>
      <c r="G59" s="2" t="s">
        <v>40</v>
      </c>
      <c r="H59" s="2" t="s">
        <v>51</v>
      </c>
      <c r="I59" s="2" t="s">
        <v>283</v>
      </c>
      <c r="J59" s="2" t="s">
        <v>284</v>
      </c>
      <c r="K59" s="2" t="s">
        <v>97</v>
      </c>
      <c r="L59" s="2"/>
    </row>
    <row r="60" customFormat="false" ht="15" hidden="false" customHeight="false" outlineLevel="0" collapsed="false">
      <c r="A60" s="2" t="n">
        <v>71</v>
      </c>
      <c r="B60" s="2" t="s">
        <v>276</v>
      </c>
      <c r="C60" s="2" t="s">
        <v>285</v>
      </c>
      <c r="D60" s="2" t="s">
        <v>286</v>
      </c>
      <c r="E60" s="2" t="s">
        <v>56</v>
      </c>
      <c r="F60" s="2" t="s">
        <v>57</v>
      </c>
      <c r="G60" s="2" t="s">
        <v>40</v>
      </c>
      <c r="H60" s="2" t="s">
        <v>51</v>
      </c>
      <c r="I60" s="2" t="s">
        <v>287</v>
      </c>
      <c r="J60" s="2" t="s">
        <v>288</v>
      </c>
      <c r="K60" s="2" t="s">
        <v>97</v>
      </c>
      <c r="L60" s="2"/>
    </row>
    <row r="61" customFormat="false" ht="15" hidden="false" customHeight="false" outlineLevel="0" collapsed="false">
      <c r="A61" s="2" t="n">
        <v>72</v>
      </c>
      <c r="B61" s="2" t="s">
        <v>276</v>
      </c>
      <c r="C61" s="2" t="s">
        <v>289</v>
      </c>
      <c r="D61" s="2" t="s">
        <v>290</v>
      </c>
      <c r="E61" s="2" t="s">
        <v>291</v>
      </c>
      <c r="F61" s="2" t="s">
        <v>57</v>
      </c>
      <c r="G61" s="2" t="s">
        <v>40</v>
      </c>
      <c r="H61" s="2" t="s">
        <v>51</v>
      </c>
      <c r="I61" s="2" t="s">
        <v>292</v>
      </c>
      <c r="J61" s="2" t="s">
        <v>293</v>
      </c>
      <c r="K61" s="2" t="s">
        <v>97</v>
      </c>
      <c r="L61" s="2" t="s">
        <v>294</v>
      </c>
    </row>
    <row r="62" customFormat="false" ht="15" hidden="false" customHeight="false" outlineLevel="0" collapsed="false">
      <c r="A62" s="2" t="n">
        <v>73</v>
      </c>
      <c r="B62" s="2" t="s">
        <v>276</v>
      </c>
      <c r="C62" s="2" t="s">
        <v>295</v>
      </c>
      <c r="D62" s="2" t="s">
        <v>296</v>
      </c>
      <c r="E62" s="2" t="s">
        <v>108</v>
      </c>
      <c r="F62" s="2" t="s">
        <v>57</v>
      </c>
      <c r="G62" s="2" t="s">
        <v>40</v>
      </c>
      <c r="H62" s="2" t="s">
        <v>68</v>
      </c>
      <c r="I62" s="2" t="s">
        <v>297</v>
      </c>
      <c r="J62" s="2" t="s">
        <v>298</v>
      </c>
      <c r="K62" s="2" t="s">
        <v>97</v>
      </c>
      <c r="L62" s="2"/>
    </row>
    <row r="63" customFormat="false" ht="23.85" hidden="false" customHeight="false" outlineLevel="0" collapsed="false">
      <c r="A63" s="2" t="n">
        <v>74</v>
      </c>
      <c r="B63" s="2" t="s">
        <v>276</v>
      </c>
      <c r="C63" s="2" t="s">
        <v>299</v>
      </c>
      <c r="D63" s="2" t="s">
        <v>300</v>
      </c>
      <c r="E63" s="2" t="s">
        <v>108</v>
      </c>
      <c r="F63" s="2" t="s">
        <v>57</v>
      </c>
      <c r="G63" s="2" t="s">
        <v>40</v>
      </c>
      <c r="H63" s="2" t="s">
        <v>68</v>
      </c>
      <c r="I63" s="2" t="s">
        <v>301</v>
      </c>
      <c r="J63" s="2" t="s">
        <v>302</v>
      </c>
      <c r="K63" s="2" t="s">
        <v>97</v>
      </c>
      <c r="L63" s="2" t="s">
        <v>303</v>
      </c>
    </row>
    <row r="64" customFormat="false" ht="23.85" hidden="false" customHeight="false" outlineLevel="0" collapsed="false">
      <c r="A64" s="2" t="n">
        <v>75</v>
      </c>
      <c r="B64" s="2" t="s">
        <v>276</v>
      </c>
      <c r="C64" s="2" t="s">
        <v>304</v>
      </c>
      <c r="D64" s="2" t="s">
        <v>305</v>
      </c>
      <c r="E64" s="2" t="s">
        <v>108</v>
      </c>
      <c r="F64" s="2" t="s">
        <v>57</v>
      </c>
      <c r="G64" s="2" t="s">
        <v>40</v>
      </c>
      <c r="H64" s="2" t="s">
        <v>68</v>
      </c>
      <c r="I64" s="2" t="s">
        <v>306</v>
      </c>
      <c r="J64" s="2" t="s">
        <v>307</v>
      </c>
      <c r="K64" s="2" t="s">
        <v>97</v>
      </c>
      <c r="L64" s="2" t="s">
        <v>308</v>
      </c>
    </row>
    <row r="65" customFormat="false" ht="15" hidden="false" customHeight="false" outlineLevel="0" collapsed="false">
      <c r="A65" s="2" t="n">
        <v>76</v>
      </c>
      <c r="B65" s="2" t="s">
        <v>276</v>
      </c>
      <c r="C65" s="2" t="s">
        <v>309</v>
      </c>
      <c r="D65" s="2" t="s">
        <v>310</v>
      </c>
      <c r="E65" s="2" t="s">
        <v>108</v>
      </c>
      <c r="F65" s="2" t="s">
        <v>57</v>
      </c>
      <c r="G65" s="2" t="s">
        <v>40</v>
      </c>
      <c r="H65" s="2" t="s">
        <v>68</v>
      </c>
      <c r="I65" s="2" t="s">
        <v>311</v>
      </c>
      <c r="J65" s="2" t="s">
        <v>312</v>
      </c>
      <c r="K65" s="2" t="s">
        <v>97</v>
      </c>
      <c r="L65" s="2"/>
    </row>
    <row r="66" customFormat="false" ht="15" hidden="false" customHeight="false" outlineLevel="0" collapsed="false">
      <c r="A66" s="2" t="n">
        <v>77</v>
      </c>
      <c r="B66" s="2" t="s">
        <v>313</v>
      </c>
      <c r="C66" s="2" t="s">
        <v>314</v>
      </c>
      <c r="D66" s="2" t="s">
        <v>315</v>
      </c>
      <c r="E66" s="2" t="s">
        <v>316</v>
      </c>
      <c r="F66" s="2" t="s">
        <v>16</v>
      </c>
      <c r="G66" s="2" t="s">
        <v>40</v>
      </c>
      <c r="H66" s="2" t="s">
        <v>18</v>
      </c>
      <c r="I66" s="2" t="s">
        <v>317</v>
      </c>
      <c r="J66" s="2" t="s">
        <v>318</v>
      </c>
      <c r="K66" s="2" t="s">
        <v>97</v>
      </c>
      <c r="L66" s="2"/>
    </row>
    <row r="67" customFormat="false" ht="15" hidden="false" customHeight="false" outlineLevel="0" collapsed="false">
      <c r="A67" s="2" t="n">
        <v>78</v>
      </c>
      <c r="B67" s="2" t="s">
        <v>313</v>
      </c>
      <c r="C67" s="2" t="s">
        <v>319</v>
      </c>
      <c r="D67" s="2" t="s">
        <v>320</v>
      </c>
      <c r="E67" s="2" t="s">
        <v>56</v>
      </c>
      <c r="F67" s="2" t="s">
        <v>57</v>
      </c>
      <c r="G67" s="2" t="s">
        <v>40</v>
      </c>
      <c r="H67" s="2" t="s">
        <v>51</v>
      </c>
      <c r="I67" s="2" t="s">
        <v>321</v>
      </c>
      <c r="J67" s="2" t="s">
        <v>322</v>
      </c>
      <c r="K67" s="2" t="s">
        <v>97</v>
      </c>
      <c r="L67" s="2"/>
    </row>
    <row r="68" customFormat="false" ht="15" hidden="false" customHeight="false" outlineLevel="0" collapsed="false">
      <c r="A68" s="2" t="n">
        <v>79</v>
      </c>
      <c r="B68" s="2" t="s">
        <v>313</v>
      </c>
      <c r="C68" s="2" t="s">
        <v>323</v>
      </c>
      <c r="D68" s="2" t="s">
        <v>324</v>
      </c>
      <c r="E68" s="2" t="s">
        <v>56</v>
      </c>
      <c r="F68" s="2" t="s">
        <v>57</v>
      </c>
      <c r="G68" s="2" t="s">
        <v>40</v>
      </c>
      <c r="H68" s="2" t="s">
        <v>51</v>
      </c>
      <c r="I68" s="2" t="s">
        <v>325</v>
      </c>
      <c r="J68" s="2" t="s">
        <v>326</v>
      </c>
      <c r="K68" s="2" t="s">
        <v>97</v>
      </c>
      <c r="L68" s="2"/>
    </row>
    <row r="69" customFormat="false" ht="15" hidden="false" customHeight="false" outlineLevel="0" collapsed="false">
      <c r="A69" s="2" t="n">
        <v>80</v>
      </c>
      <c r="B69" s="2" t="s">
        <v>313</v>
      </c>
      <c r="C69" s="2" t="s">
        <v>327</v>
      </c>
      <c r="D69" s="2" t="s">
        <v>328</v>
      </c>
      <c r="E69" s="2" t="s">
        <v>56</v>
      </c>
      <c r="F69" s="2" t="s">
        <v>57</v>
      </c>
      <c r="G69" s="2" t="s">
        <v>40</v>
      </c>
      <c r="H69" s="2" t="s">
        <v>51</v>
      </c>
      <c r="I69" s="2" t="s">
        <v>329</v>
      </c>
      <c r="J69" s="2" t="s">
        <v>330</v>
      </c>
      <c r="K69" s="2" t="s">
        <v>97</v>
      </c>
      <c r="L69" s="2"/>
    </row>
    <row r="70" customFormat="false" ht="15" hidden="false" customHeight="false" outlineLevel="0" collapsed="false">
      <c r="A70" s="2" t="n">
        <v>81</v>
      </c>
      <c r="B70" s="2" t="s">
        <v>313</v>
      </c>
      <c r="C70" s="2" t="s">
        <v>331</v>
      </c>
      <c r="D70" s="2" t="s">
        <v>332</v>
      </c>
      <c r="E70" s="2" t="s">
        <v>108</v>
      </c>
      <c r="F70" s="2" t="s">
        <v>57</v>
      </c>
      <c r="G70" s="2" t="s">
        <v>40</v>
      </c>
      <c r="H70" s="2" t="s">
        <v>68</v>
      </c>
      <c r="I70" s="2" t="s">
        <v>333</v>
      </c>
      <c r="J70" s="2" t="s">
        <v>334</v>
      </c>
      <c r="K70" s="2" t="s">
        <v>97</v>
      </c>
      <c r="L70" s="2"/>
    </row>
    <row r="71" customFormat="false" ht="15" hidden="false" customHeight="false" outlineLevel="0" collapsed="false">
      <c r="A71" s="2" t="n">
        <v>82</v>
      </c>
      <c r="B71" s="2" t="s">
        <v>313</v>
      </c>
      <c r="C71" s="2" t="s">
        <v>335</v>
      </c>
      <c r="D71" s="2" t="s">
        <v>336</v>
      </c>
      <c r="E71" s="2" t="s">
        <v>76</v>
      </c>
      <c r="F71" s="2" t="s">
        <v>57</v>
      </c>
      <c r="G71" s="2" t="s">
        <v>40</v>
      </c>
      <c r="H71" s="2" t="s">
        <v>68</v>
      </c>
      <c r="I71" s="2" t="s">
        <v>337</v>
      </c>
      <c r="J71" s="2" t="s">
        <v>264</v>
      </c>
      <c r="K71" s="2" t="s">
        <v>97</v>
      </c>
      <c r="L71" s="2"/>
    </row>
    <row r="72" customFormat="false" ht="15" hidden="false" customHeight="false" outlineLevel="0" collapsed="false">
      <c r="A72" s="2" t="n">
        <v>83</v>
      </c>
      <c r="B72" s="2" t="s">
        <v>313</v>
      </c>
      <c r="C72" s="2" t="s">
        <v>338</v>
      </c>
      <c r="D72" s="2" t="s">
        <v>339</v>
      </c>
      <c r="E72" s="2" t="s">
        <v>76</v>
      </c>
      <c r="F72" s="2" t="s">
        <v>57</v>
      </c>
      <c r="G72" s="2" t="s">
        <v>40</v>
      </c>
      <c r="H72" s="2" t="s">
        <v>68</v>
      </c>
      <c r="I72" s="2" t="s">
        <v>340</v>
      </c>
      <c r="J72" s="2" t="s">
        <v>341</v>
      </c>
      <c r="K72" s="2" t="s">
        <v>97</v>
      </c>
      <c r="L72" s="2"/>
    </row>
    <row r="73" customFormat="false" ht="15" hidden="false" customHeight="false" outlineLevel="0" collapsed="false">
      <c r="A73" s="2" t="n">
        <v>84</v>
      </c>
      <c r="B73" s="2" t="s">
        <v>313</v>
      </c>
      <c r="C73" s="2" t="s">
        <v>342</v>
      </c>
      <c r="D73" s="2" t="s">
        <v>343</v>
      </c>
      <c r="E73" s="2" t="s">
        <v>56</v>
      </c>
      <c r="F73" s="2" t="s">
        <v>57</v>
      </c>
      <c r="G73" s="2" t="s">
        <v>40</v>
      </c>
      <c r="H73" s="2" t="s">
        <v>51</v>
      </c>
      <c r="I73" s="2" t="s">
        <v>344</v>
      </c>
      <c r="J73" s="2" t="s">
        <v>345</v>
      </c>
      <c r="K73" s="2" t="s">
        <v>97</v>
      </c>
      <c r="L73" s="2" t="s">
        <v>346</v>
      </c>
    </row>
    <row r="74" customFormat="false" ht="15" hidden="false" customHeight="false" outlineLevel="0" collapsed="false">
      <c r="A74" s="2" t="n">
        <v>85</v>
      </c>
      <c r="B74" s="2" t="s">
        <v>347</v>
      </c>
      <c r="C74" s="2" t="s">
        <v>348</v>
      </c>
      <c r="D74" s="2" t="s">
        <v>349</v>
      </c>
      <c r="E74" s="2" t="s">
        <v>350</v>
      </c>
      <c r="F74" s="2" t="s">
        <v>16</v>
      </c>
      <c r="G74" s="2" t="s">
        <v>40</v>
      </c>
      <c r="H74" s="2" t="s">
        <v>18</v>
      </c>
      <c r="I74" s="2" t="s">
        <v>351</v>
      </c>
      <c r="J74" s="2" t="s">
        <v>352</v>
      </c>
      <c r="K74" s="2" t="s">
        <v>97</v>
      </c>
      <c r="L74" s="2"/>
    </row>
    <row r="75" customFormat="false" ht="15" hidden="false" customHeight="false" outlineLevel="0" collapsed="false">
      <c r="A75" s="2" t="n">
        <v>86</v>
      </c>
      <c r="B75" s="2" t="s">
        <v>347</v>
      </c>
      <c r="C75" s="2" t="s">
        <v>353</v>
      </c>
      <c r="D75" s="2" t="s">
        <v>354</v>
      </c>
      <c r="E75" s="2" t="s">
        <v>76</v>
      </c>
      <c r="F75" s="2" t="s">
        <v>57</v>
      </c>
      <c r="G75" s="2" t="s">
        <v>40</v>
      </c>
      <c r="H75" s="2" t="s">
        <v>51</v>
      </c>
      <c r="I75" s="2" t="s">
        <v>355</v>
      </c>
      <c r="J75" s="2" t="s">
        <v>356</v>
      </c>
      <c r="K75" s="2" t="s">
        <v>97</v>
      </c>
      <c r="L75" s="2" t="s">
        <v>357</v>
      </c>
    </row>
    <row r="76" customFormat="false" ht="15" hidden="false" customHeight="false" outlineLevel="0" collapsed="false">
      <c r="A76" s="2" t="n">
        <v>87</v>
      </c>
      <c r="B76" s="2" t="s">
        <v>347</v>
      </c>
      <c r="C76" s="2" t="s">
        <v>358</v>
      </c>
      <c r="D76" s="2" t="s">
        <v>359</v>
      </c>
      <c r="E76" s="2" t="s">
        <v>159</v>
      </c>
      <c r="F76" s="2" t="s">
        <v>57</v>
      </c>
      <c r="G76" s="2" t="s">
        <v>40</v>
      </c>
      <c r="H76" s="2" t="s">
        <v>51</v>
      </c>
      <c r="I76" s="2" t="s">
        <v>360</v>
      </c>
      <c r="J76" s="2" t="s">
        <v>361</v>
      </c>
      <c r="K76" s="2" t="s">
        <v>97</v>
      </c>
      <c r="L76" s="2"/>
    </row>
    <row r="77" customFormat="false" ht="15" hidden="false" customHeight="false" outlineLevel="0" collapsed="false">
      <c r="A77" s="2" t="n">
        <v>88</v>
      </c>
      <c r="B77" s="2" t="s">
        <v>347</v>
      </c>
      <c r="C77" s="2" t="s">
        <v>362</v>
      </c>
      <c r="D77" s="2" t="s">
        <v>363</v>
      </c>
      <c r="E77" s="2" t="s">
        <v>56</v>
      </c>
      <c r="F77" s="2" t="s">
        <v>57</v>
      </c>
      <c r="G77" s="2" t="s">
        <v>40</v>
      </c>
      <c r="H77" s="2" t="s">
        <v>51</v>
      </c>
      <c r="I77" s="2" t="s">
        <v>364</v>
      </c>
      <c r="J77" s="2" t="s">
        <v>365</v>
      </c>
      <c r="K77" s="2" t="s">
        <v>97</v>
      </c>
      <c r="L77" s="2" t="s">
        <v>366</v>
      </c>
    </row>
    <row r="78" customFormat="false" ht="15" hidden="false" customHeight="false" outlineLevel="0" collapsed="false">
      <c r="A78" s="2" t="n">
        <v>89</v>
      </c>
      <c r="B78" s="2" t="s">
        <v>347</v>
      </c>
      <c r="C78" s="2" t="s">
        <v>367</v>
      </c>
      <c r="D78" s="2" t="s">
        <v>368</v>
      </c>
      <c r="E78" s="2" t="s">
        <v>35</v>
      </c>
      <c r="F78" s="2" t="s">
        <v>16</v>
      </c>
      <c r="G78" s="2" t="s">
        <v>40</v>
      </c>
      <c r="H78" s="2" t="s">
        <v>18</v>
      </c>
      <c r="I78" s="2" t="s">
        <v>369</v>
      </c>
      <c r="J78" s="2" t="s">
        <v>370</v>
      </c>
      <c r="K78" s="2" t="s">
        <v>97</v>
      </c>
      <c r="L78" s="2" t="s">
        <v>357</v>
      </c>
    </row>
    <row r="79" customFormat="false" ht="15" hidden="false" customHeight="false" outlineLevel="0" collapsed="false">
      <c r="A79" s="2" t="n">
        <v>92</v>
      </c>
      <c r="B79" s="2" t="s">
        <v>347</v>
      </c>
      <c r="C79" s="2" t="s">
        <v>371</v>
      </c>
      <c r="D79" s="2" t="s">
        <v>372</v>
      </c>
      <c r="E79" s="2" t="s">
        <v>159</v>
      </c>
      <c r="F79" s="2" t="s">
        <v>57</v>
      </c>
      <c r="G79" s="2" t="s">
        <v>40</v>
      </c>
      <c r="H79" s="2" t="s">
        <v>51</v>
      </c>
      <c r="I79" s="2" t="s">
        <v>373</v>
      </c>
      <c r="J79" s="2" t="s">
        <v>374</v>
      </c>
      <c r="K79" s="2" t="s">
        <v>97</v>
      </c>
      <c r="L79" s="2"/>
    </row>
    <row r="80" customFormat="false" ht="23.85" hidden="false" customHeight="false" outlineLevel="0" collapsed="false">
      <c r="A80" s="2" t="n">
        <v>93</v>
      </c>
      <c r="B80" s="2" t="s">
        <v>375</v>
      </c>
      <c r="C80" s="2" t="s">
        <v>376</v>
      </c>
      <c r="D80" s="2" t="s">
        <v>377</v>
      </c>
      <c r="E80" s="2" t="s">
        <v>159</v>
      </c>
      <c r="F80" s="2" t="s">
        <v>57</v>
      </c>
      <c r="G80" s="2" t="s">
        <v>40</v>
      </c>
      <c r="H80" s="2" t="s">
        <v>51</v>
      </c>
      <c r="I80" s="2" t="s">
        <v>378</v>
      </c>
      <c r="J80" s="2" t="s">
        <v>379</v>
      </c>
      <c r="K80" s="2" t="s">
        <v>97</v>
      </c>
      <c r="L80" s="2"/>
    </row>
    <row r="81" customFormat="false" ht="23.85" hidden="false" customHeight="false" outlineLevel="0" collapsed="false">
      <c r="A81" s="2" t="n">
        <v>94</v>
      </c>
      <c r="B81" s="2" t="s">
        <v>375</v>
      </c>
      <c r="C81" s="2" t="s">
        <v>380</v>
      </c>
      <c r="D81" s="2" t="s">
        <v>381</v>
      </c>
      <c r="E81" s="2" t="s">
        <v>382</v>
      </c>
      <c r="F81" s="2" t="s">
        <v>16</v>
      </c>
      <c r="G81" s="2" t="s">
        <v>40</v>
      </c>
      <c r="H81" s="2" t="s">
        <v>68</v>
      </c>
      <c r="I81" s="2" t="s">
        <v>383</v>
      </c>
      <c r="J81" s="2" t="s">
        <v>384</v>
      </c>
      <c r="K81" s="2" t="s">
        <v>97</v>
      </c>
      <c r="L81" s="2"/>
    </row>
    <row r="82" customFormat="false" ht="23.85" hidden="false" customHeight="false" outlineLevel="0" collapsed="false">
      <c r="A82" s="2" t="n">
        <v>95</v>
      </c>
      <c r="B82" s="2" t="s">
        <v>375</v>
      </c>
      <c r="C82" s="2" t="s">
        <v>385</v>
      </c>
      <c r="D82" s="2" t="s">
        <v>386</v>
      </c>
      <c r="E82" s="2" t="s">
        <v>56</v>
      </c>
      <c r="F82" s="2" t="s">
        <v>57</v>
      </c>
      <c r="G82" s="2" t="s">
        <v>40</v>
      </c>
      <c r="H82" s="2" t="s">
        <v>51</v>
      </c>
      <c r="I82" s="2" t="s">
        <v>387</v>
      </c>
      <c r="J82" s="2" t="s">
        <v>388</v>
      </c>
      <c r="K82" s="2" t="s">
        <v>97</v>
      </c>
      <c r="L82" s="2"/>
    </row>
    <row r="83" customFormat="false" ht="23.85" hidden="false" customHeight="false" outlineLevel="0" collapsed="false">
      <c r="A83" s="2" t="n">
        <v>96</v>
      </c>
      <c r="B83" s="2" t="s">
        <v>375</v>
      </c>
      <c r="C83" s="2" t="s">
        <v>389</v>
      </c>
      <c r="D83" s="2" t="s">
        <v>390</v>
      </c>
      <c r="E83" s="2" t="s">
        <v>76</v>
      </c>
      <c r="F83" s="2" t="s">
        <v>57</v>
      </c>
      <c r="G83" s="2" t="s">
        <v>40</v>
      </c>
      <c r="H83" s="2" t="s">
        <v>68</v>
      </c>
      <c r="I83" s="2" t="s">
        <v>391</v>
      </c>
      <c r="J83" s="2" t="s">
        <v>392</v>
      </c>
      <c r="K83" s="2" t="s">
        <v>97</v>
      </c>
      <c r="L83" s="2" t="s">
        <v>393</v>
      </c>
    </row>
    <row r="84" customFormat="false" ht="15" hidden="false" customHeight="false" outlineLevel="0" collapsed="false">
      <c r="A84" s="2" t="n">
        <v>97</v>
      </c>
      <c r="B84" s="2" t="s">
        <v>394</v>
      </c>
      <c r="C84" s="2" t="s">
        <v>395</v>
      </c>
      <c r="D84" s="2" t="s">
        <v>396</v>
      </c>
      <c r="E84" s="2" t="s">
        <v>397</v>
      </c>
      <c r="F84" s="2" t="s">
        <v>16</v>
      </c>
      <c r="G84" s="2" t="s">
        <v>17</v>
      </c>
      <c r="H84" s="2" t="s">
        <v>18</v>
      </c>
      <c r="I84" s="2" t="s">
        <v>398</v>
      </c>
      <c r="J84" s="2" t="s">
        <v>399</v>
      </c>
      <c r="K84" s="2" t="s">
        <v>97</v>
      </c>
      <c r="L84" s="2"/>
    </row>
    <row r="85" customFormat="false" ht="15" hidden="false" customHeight="false" outlineLevel="0" collapsed="false">
      <c r="A85" s="2" t="n">
        <v>98</v>
      </c>
      <c r="B85" s="2" t="s">
        <v>394</v>
      </c>
      <c r="C85" s="2" t="s">
        <v>400</v>
      </c>
      <c r="D85" s="2" t="s">
        <v>401</v>
      </c>
      <c r="E85" s="2" t="s">
        <v>56</v>
      </c>
      <c r="F85" s="2" t="s">
        <v>57</v>
      </c>
      <c r="G85" s="2" t="s">
        <v>40</v>
      </c>
      <c r="H85" s="2" t="s">
        <v>51</v>
      </c>
      <c r="I85" s="2" t="s">
        <v>402</v>
      </c>
      <c r="J85" s="2" t="s">
        <v>403</v>
      </c>
      <c r="K85" s="2" t="s">
        <v>97</v>
      </c>
      <c r="L85" s="2"/>
    </row>
    <row r="86" customFormat="false" ht="15" hidden="false" customHeight="false" outlineLevel="0" collapsed="false">
      <c r="A86" s="2" t="n">
        <v>99</v>
      </c>
      <c r="B86" s="2" t="s">
        <v>394</v>
      </c>
      <c r="C86" s="2" t="s">
        <v>404</v>
      </c>
      <c r="D86" s="2" t="s">
        <v>405</v>
      </c>
      <c r="E86" s="2" t="s">
        <v>56</v>
      </c>
      <c r="F86" s="2" t="s">
        <v>57</v>
      </c>
      <c r="G86" s="2" t="s">
        <v>40</v>
      </c>
      <c r="H86" s="2" t="s">
        <v>51</v>
      </c>
      <c r="I86" s="2" t="s">
        <v>406</v>
      </c>
      <c r="J86" s="2" t="s">
        <v>407</v>
      </c>
      <c r="K86" s="2" t="s">
        <v>97</v>
      </c>
      <c r="L86" s="2"/>
    </row>
    <row r="87" customFormat="false" ht="15" hidden="false" customHeight="false" outlineLevel="0" collapsed="false">
      <c r="A87" s="2" t="n">
        <v>100</v>
      </c>
      <c r="B87" s="2" t="s">
        <v>394</v>
      </c>
      <c r="C87" s="2" t="s">
        <v>408</v>
      </c>
      <c r="D87" s="2" t="s">
        <v>409</v>
      </c>
      <c r="E87" s="2" t="s">
        <v>410</v>
      </c>
      <c r="F87" s="2" t="s">
        <v>16</v>
      </c>
      <c r="G87" s="2" t="s">
        <v>40</v>
      </c>
      <c r="H87" s="2" t="s">
        <v>18</v>
      </c>
      <c r="I87" s="2" t="s">
        <v>411</v>
      </c>
      <c r="J87" s="2" t="s">
        <v>412</v>
      </c>
      <c r="K87" s="2" t="s">
        <v>97</v>
      </c>
      <c r="L8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7" min="7" style="0" width="70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413</v>
      </c>
      <c r="G1" s="1" t="s">
        <v>414</v>
      </c>
    </row>
    <row r="2" customFormat="false" ht="23.85" hidden="false" customHeight="false" outlineLevel="0" collapsed="false">
      <c r="A2" s="2" t="n">
        <v>19</v>
      </c>
      <c r="B2" s="2" t="s">
        <v>78</v>
      </c>
      <c r="C2" s="2" t="s">
        <v>415</v>
      </c>
      <c r="D2" s="2" t="s">
        <v>416</v>
      </c>
      <c r="E2" s="2" t="s">
        <v>56</v>
      </c>
      <c r="F2" s="2" t="s">
        <v>417</v>
      </c>
      <c r="G2" s="2" t="s">
        <v>418</v>
      </c>
    </row>
    <row r="3" customFormat="false" ht="23.85" hidden="false" customHeight="false" outlineLevel="0" collapsed="false">
      <c r="A3" s="2" t="n">
        <v>23</v>
      </c>
      <c r="B3" s="2" t="s">
        <v>118</v>
      </c>
      <c r="C3" s="2" t="s">
        <v>419</v>
      </c>
      <c r="D3" s="2" t="s">
        <v>420</v>
      </c>
      <c r="E3" s="2" t="s">
        <v>421</v>
      </c>
      <c r="F3" s="2" t="s">
        <v>422</v>
      </c>
      <c r="G3" s="2" t="s">
        <v>423</v>
      </c>
    </row>
    <row r="4" customFormat="false" ht="23.85" hidden="false" customHeight="false" outlineLevel="0" collapsed="false">
      <c r="A4" s="2" t="n">
        <v>24</v>
      </c>
      <c r="B4" s="2" t="s">
        <v>118</v>
      </c>
      <c r="C4" s="2" t="s">
        <v>424</v>
      </c>
      <c r="D4" s="2" t="s">
        <v>425</v>
      </c>
      <c r="E4" s="2" t="s">
        <v>159</v>
      </c>
      <c r="F4" s="2" t="s">
        <v>422</v>
      </c>
      <c r="G4" s="2" t="s">
        <v>426</v>
      </c>
    </row>
    <row r="5" customFormat="false" ht="23.85" hidden="false" customHeight="false" outlineLevel="0" collapsed="false">
      <c r="A5" s="2" t="n">
        <v>25</v>
      </c>
      <c r="B5" s="2" t="s">
        <v>118</v>
      </c>
      <c r="C5" s="2" t="s">
        <v>427</v>
      </c>
      <c r="D5" s="2" t="s">
        <v>428</v>
      </c>
      <c r="E5" s="2" t="s">
        <v>429</v>
      </c>
      <c r="F5" s="2" t="s">
        <v>422</v>
      </c>
      <c r="G5" s="2" t="s">
        <v>430</v>
      </c>
    </row>
    <row r="6" customFormat="false" ht="15" hidden="false" customHeight="false" outlineLevel="0" collapsed="false">
      <c r="A6" s="2" t="n">
        <v>26</v>
      </c>
      <c r="B6" s="2" t="s">
        <v>118</v>
      </c>
      <c r="C6" s="2" t="s">
        <v>431</v>
      </c>
      <c r="D6" s="2" t="s">
        <v>432</v>
      </c>
      <c r="E6" s="2" t="s">
        <v>56</v>
      </c>
      <c r="F6" s="2" t="s">
        <v>422</v>
      </c>
      <c r="G6" s="2" t="s">
        <v>433</v>
      </c>
    </row>
    <row r="7" customFormat="false" ht="15" hidden="false" customHeight="false" outlineLevel="0" collapsed="false">
      <c r="A7" s="2" t="n">
        <v>28</v>
      </c>
      <c r="B7" s="2" t="s">
        <v>118</v>
      </c>
      <c r="C7" s="2" t="s">
        <v>434</v>
      </c>
      <c r="D7" s="2" t="s">
        <v>435</v>
      </c>
      <c r="E7" s="2" t="s">
        <v>56</v>
      </c>
      <c r="F7" s="2" t="s">
        <v>422</v>
      </c>
      <c r="G7" s="2" t="s">
        <v>436</v>
      </c>
    </row>
    <row r="8" customFormat="false" ht="23.85" hidden="false" customHeight="false" outlineLevel="0" collapsed="false">
      <c r="A8" s="2" t="n">
        <v>29</v>
      </c>
      <c r="B8" s="2" t="s">
        <v>118</v>
      </c>
      <c r="C8" s="2" t="s">
        <v>437</v>
      </c>
      <c r="D8" s="2" t="s">
        <v>438</v>
      </c>
      <c r="E8" s="2" t="s">
        <v>141</v>
      </c>
      <c r="F8" s="2" t="s">
        <v>422</v>
      </c>
      <c r="G8" s="2" t="s">
        <v>439</v>
      </c>
    </row>
    <row r="9" customFormat="false" ht="23.85" hidden="false" customHeight="false" outlineLevel="0" collapsed="false">
      <c r="A9" s="2" t="n">
        <v>30</v>
      </c>
      <c r="B9" s="2" t="s">
        <v>118</v>
      </c>
      <c r="C9" s="2" t="s">
        <v>440</v>
      </c>
      <c r="D9" s="2" t="s">
        <v>441</v>
      </c>
      <c r="E9" s="2" t="s">
        <v>76</v>
      </c>
      <c r="F9" s="2" t="s">
        <v>442</v>
      </c>
      <c r="G9" s="2" t="s">
        <v>443</v>
      </c>
    </row>
    <row r="10" customFormat="false" ht="23.85" hidden="false" customHeight="false" outlineLevel="0" collapsed="false">
      <c r="A10" s="2" t="n">
        <v>32</v>
      </c>
      <c r="B10" s="2" t="s">
        <v>118</v>
      </c>
      <c r="C10" s="2" t="s">
        <v>444</v>
      </c>
      <c r="D10" s="2" t="s">
        <v>445</v>
      </c>
      <c r="E10" s="2" t="s">
        <v>56</v>
      </c>
      <c r="F10" s="2" t="s">
        <v>446</v>
      </c>
      <c r="G10" s="2" t="s">
        <v>447</v>
      </c>
    </row>
    <row r="11" customFormat="false" ht="15" hidden="false" customHeight="false" outlineLevel="0" collapsed="false">
      <c r="A11" s="2" t="n">
        <v>58</v>
      </c>
      <c r="B11" s="2" t="s">
        <v>217</v>
      </c>
      <c r="C11" s="2" t="s">
        <v>448</v>
      </c>
      <c r="D11" s="2" t="s">
        <v>449</v>
      </c>
      <c r="E11" s="2" t="s">
        <v>108</v>
      </c>
      <c r="F11" s="2" t="s">
        <v>450</v>
      </c>
      <c r="G11" s="2" t="s">
        <v>451</v>
      </c>
    </row>
    <row r="12" customFormat="false" ht="23.85" hidden="false" customHeight="false" outlineLevel="0" collapsed="false">
      <c r="A12" s="2" t="n">
        <v>61</v>
      </c>
      <c r="B12" s="2" t="s">
        <v>247</v>
      </c>
      <c r="C12" s="2" t="s">
        <v>452</v>
      </c>
      <c r="D12" s="2" t="s">
        <v>453</v>
      </c>
      <c r="E12" s="2" t="s">
        <v>454</v>
      </c>
      <c r="F12" s="2" t="s">
        <v>446</v>
      </c>
      <c r="G12" s="2" t="s">
        <v>455</v>
      </c>
    </row>
    <row r="13" customFormat="false" ht="15" hidden="false" customHeight="false" outlineLevel="0" collapsed="false">
      <c r="A13" s="2" t="n">
        <v>66</v>
      </c>
      <c r="B13" s="2" t="s">
        <v>247</v>
      </c>
      <c r="C13" s="2" t="s">
        <v>456</v>
      </c>
      <c r="D13" s="2" t="s">
        <v>457</v>
      </c>
      <c r="E13" s="2" t="s">
        <v>108</v>
      </c>
      <c r="F13" s="2" t="s">
        <v>450</v>
      </c>
      <c r="G13" s="2" t="s">
        <v>458</v>
      </c>
    </row>
    <row r="14" customFormat="false" ht="15" hidden="false" customHeight="false" outlineLevel="0" collapsed="false">
      <c r="A14" s="2" t="n">
        <v>90</v>
      </c>
      <c r="B14" s="2" t="s">
        <v>347</v>
      </c>
      <c r="C14" s="2" t="s">
        <v>459</v>
      </c>
      <c r="D14" s="2" t="s">
        <v>460</v>
      </c>
      <c r="E14" s="2" t="s">
        <v>56</v>
      </c>
      <c r="F14" s="2" t="s">
        <v>461</v>
      </c>
      <c r="G14" s="2" t="s">
        <v>462</v>
      </c>
    </row>
    <row r="15" customFormat="false" ht="15" hidden="false" customHeight="false" outlineLevel="0" collapsed="false">
      <c r="A15" s="2" t="n">
        <v>91</v>
      </c>
      <c r="B15" s="2" t="s">
        <v>347</v>
      </c>
      <c r="C15" s="2" t="s">
        <v>463</v>
      </c>
      <c r="D15" s="2" t="s">
        <v>464</v>
      </c>
      <c r="E15" s="2" t="s">
        <v>76</v>
      </c>
      <c r="F15" s="2" t="s">
        <v>465</v>
      </c>
      <c r="G15" s="2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</cols>
  <sheetData>
    <row r="1" customFormat="false" ht="30" hidden="false" customHeight="true" outlineLevel="0" collapsed="false">
      <c r="A1" s="1" t="s">
        <v>467</v>
      </c>
      <c r="B1" s="1" t="s">
        <v>468</v>
      </c>
    </row>
    <row r="2" customFormat="false" ht="15" hidden="false" customHeight="false" outlineLevel="0" collapsed="false">
      <c r="A2" s="2" t="s">
        <v>469</v>
      </c>
      <c r="B2" s="2" t="n">
        <f aca="false">COUNTA('Remaining Plans'!A2:A1000)+COUNTA('Removed (YMYL Risk)'!A2:A1000)</f>
        <v>100</v>
      </c>
    </row>
    <row r="3" customFormat="false" ht="15" hidden="false" customHeight="false" outlineLevel="0" collapsed="false">
      <c r="A3" s="2" t="s">
        <v>470</v>
      </c>
      <c r="B3" s="2" t="n">
        <f aca="false">COUNTA('Removed (YMYL Risk)'!A2:A1000)</f>
        <v>14</v>
      </c>
    </row>
    <row r="4" customFormat="false" ht="15" hidden="false" customHeight="false" outlineLevel="0" collapsed="false">
      <c r="A4" s="2" t="s">
        <v>471</v>
      </c>
      <c r="B4" s="2" t="n">
        <f aca="false">COUNTA('Remaining Plans'!A2:A1000)</f>
        <v>86</v>
      </c>
    </row>
    <row r="5" customFormat="false" ht="15" hidden="false" customHeight="false" outlineLevel="0" collapsed="false">
      <c r="A5" s="2" t="s">
        <v>472</v>
      </c>
      <c r="B5" s="2" t="n">
        <f aca="false">COUNTIF('Remaining Plans'!K2:K1000,"Written (Batch 1)")</f>
        <v>15</v>
      </c>
    </row>
    <row r="6" customFormat="false" ht="15" hidden="false" customHeight="false" outlineLevel="0" collapsed="false">
      <c r="A6" s="2" t="s">
        <v>473</v>
      </c>
      <c r="B6" s="2" t="n">
        <f aca="false">COUNTIF('Remaining Plans'!K2:K1000,"To write")</f>
        <v>71</v>
      </c>
    </row>
    <row r="7" customFormat="false" ht="15" hidden="false" customHeight="false" outlineLevel="0" collapsed="false">
      <c r="A7" s="2" t="s">
        <v>474</v>
      </c>
      <c r="B7" s="2" t="n">
        <f aca="false">COUNTIFS('Remaining Plans'!K2:K1000,"To write",'Remaining Plans'!H2:H1000,"P1")</f>
        <v>15</v>
      </c>
    </row>
    <row r="8" customFormat="false" ht="15" hidden="false" customHeight="false" outlineLevel="0" collapsed="false">
      <c r="A8" s="2" t="s">
        <v>475</v>
      </c>
      <c r="B8" s="2" t="n">
        <f aca="false">COUNTIFS('Remaining Plans'!K2:K1000,"To write",'Remaining Plans'!H2:H1000,"P2")</f>
        <v>29</v>
      </c>
    </row>
    <row r="9" customFormat="false" ht="15" hidden="false" customHeight="false" outlineLevel="0" collapsed="false">
      <c r="A9" s="2" t="s">
        <v>476</v>
      </c>
      <c r="B9" s="2" t="n">
        <f aca="false">COUNTIFS('Remaining Plans'!K2:K1000,"To write",'Remaining Plans'!H2:H1000,"P3")</f>
        <v>27</v>
      </c>
    </row>
    <row r="10" customFormat="false" ht="15" hidden="false" customHeight="false" outlineLevel="0" collapsed="false">
      <c r="A10" s="2"/>
      <c r="B10" s="2"/>
    </row>
    <row r="11" customFormat="false" ht="15" hidden="false" customHeight="false" outlineLevel="0" collapsed="false">
      <c r="A11" s="4" t="s">
        <v>477</v>
      </c>
      <c r="B11" s="4" t="s">
        <v>468</v>
      </c>
    </row>
    <row r="12" customFormat="false" ht="15" hidden="false" customHeight="false" outlineLevel="0" collapsed="false">
      <c r="A12" s="2" t="s">
        <v>12</v>
      </c>
      <c r="B12" s="2" t="n">
        <f aca="false">COUNTIF('Remaining Plans'!B2:B1000,"Muscle Building &amp; Hypertrophy")</f>
        <v>12</v>
      </c>
    </row>
    <row r="13" customFormat="false" ht="15" hidden="false" customHeight="false" outlineLevel="0" collapsed="false">
      <c r="A13" s="2" t="s">
        <v>78</v>
      </c>
      <c r="B13" s="2" t="n">
        <f aca="false">COUNTIF('Remaining Plans'!B2:B1000,"Strength Training")</f>
        <v>9</v>
      </c>
    </row>
    <row r="14" customFormat="false" ht="15" hidden="false" customHeight="false" outlineLevel="0" collapsed="false">
      <c r="A14" s="2" t="s">
        <v>118</v>
      </c>
      <c r="B14" s="2" t="n">
        <f aca="false">COUNTIF('Remaining Plans'!B2:B1000,"Fat Loss &amp; Weight Loss")</f>
        <v>2</v>
      </c>
    </row>
    <row r="15" customFormat="false" ht="15" hidden="false" customHeight="false" outlineLevel="0" collapsed="false">
      <c r="A15" s="2" t="s">
        <v>129</v>
      </c>
      <c r="B15" s="2" t="n">
        <f aca="false">COUNTIF('Remaining Plans'!B2:B1000,"Home Workouts")</f>
        <v>10</v>
      </c>
    </row>
    <row r="16" customFormat="false" ht="15" hidden="false" customHeight="false" outlineLevel="0" collapsed="false">
      <c r="A16" s="2" t="s">
        <v>175</v>
      </c>
      <c r="B16" s="2" t="n">
        <f aca="false">COUNTIF('Remaining Plans'!B2:B1000,"HIIT &amp; Cardio")</f>
        <v>10</v>
      </c>
    </row>
    <row r="17" customFormat="false" ht="15" hidden="false" customHeight="false" outlineLevel="0" collapsed="false">
      <c r="A17" s="2" t="s">
        <v>217</v>
      </c>
      <c r="B17" s="2" t="n">
        <f aca="false">COUNTIF('Remaining Plans'!B2:B1000,"Legs &amp; Glutes")</f>
        <v>7</v>
      </c>
    </row>
    <row r="18" customFormat="false" ht="15" hidden="false" customHeight="false" outlineLevel="0" collapsed="false">
      <c r="A18" s="2" t="s">
        <v>247</v>
      </c>
      <c r="B18" s="2" t="n">
        <f aca="false">COUNTIF('Remaining Plans'!B2:B1000,"Core &amp; Abs")</f>
        <v>6</v>
      </c>
    </row>
    <row r="19" customFormat="false" ht="15" hidden="false" customHeight="false" outlineLevel="0" collapsed="false">
      <c r="A19" s="2" t="s">
        <v>276</v>
      </c>
      <c r="B19" s="2" t="n">
        <f aca="false">COUNTIF('Remaining Plans'!B2:B1000,"Calisthenics")</f>
        <v>8</v>
      </c>
    </row>
    <row r="20" customFormat="false" ht="15" hidden="false" customHeight="false" outlineLevel="0" collapsed="false">
      <c r="A20" s="2" t="s">
        <v>313</v>
      </c>
      <c r="B20" s="2" t="n">
        <f aca="false">COUNTIF('Remaining Plans'!B2:B1000,"Quick Workouts")</f>
        <v>8</v>
      </c>
    </row>
    <row r="21" customFormat="false" ht="15" hidden="false" customHeight="false" outlineLevel="0" collapsed="false">
      <c r="A21" s="2" t="s">
        <v>347</v>
      </c>
      <c r="B21" s="2" t="n">
        <f aca="false">COUNTIF('Remaining Plans'!B2:B1000,"Beginner Specific")</f>
        <v>6</v>
      </c>
    </row>
    <row r="22" customFormat="false" ht="15" hidden="false" customHeight="false" outlineLevel="0" collapsed="false">
      <c r="A22" s="2" t="s">
        <v>375</v>
      </c>
      <c r="B22" s="2" t="n">
        <f aca="false">COUNTIF('Remaining Plans'!B2:B1000,"Warm Up, Mobility &amp; Recovery")</f>
        <v>4</v>
      </c>
    </row>
    <row r="23" customFormat="false" ht="15" hidden="false" customHeight="false" outlineLevel="0" collapsed="false">
      <c r="A23" s="2" t="s">
        <v>394</v>
      </c>
      <c r="B23" s="2" t="n">
        <f aca="false">COUNTIF('Remaining Plans'!B2:B1000,"Body Part Specific")</f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90"/>
    <col collapsed="false" customWidth="true" hidden="false" outlineLevel="0" max="3" min="3" style="0" width="26"/>
  </cols>
  <sheetData>
    <row r="1" customFormat="false" ht="30" hidden="false" customHeight="true" outlineLevel="0" collapsed="false">
      <c r="A1" s="1" t="s">
        <v>478</v>
      </c>
      <c r="B1" s="1" t="s">
        <v>479</v>
      </c>
      <c r="C1" s="1" t="s">
        <v>480</v>
      </c>
    </row>
    <row r="2" customFormat="false" ht="15" hidden="false" customHeight="false" outlineLevel="0" collapsed="false">
      <c r="A2" s="2" t="s">
        <v>450</v>
      </c>
      <c r="B2" s="2" t="s">
        <v>481</v>
      </c>
      <c r="C2" s="2" t="s">
        <v>482</v>
      </c>
    </row>
    <row r="3" customFormat="false" ht="15" hidden="false" customHeight="false" outlineLevel="0" collapsed="false">
      <c r="A3" s="2" t="s">
        <v>483</v>
      </c>
      <c r="B3" s="2" t="s">
        <v>484</v>
      </c>
      <c r="C3" s="2" t="s">
        <v>485</v>
      </c>
    </row>
    <row r="4" customFormat="false" ht="23.85" hidden="false" customHeight="false" outlineLevel="0" collapsed="false">
      <c r="A4" s="2" t="s">
        <v>486</v>
      </c>
      <c r="B4" s="2" t="s">
        <v>487</v>
      </c>
      <c r="C4" s="2" t="s">
        <v>488</v>
      </c>
    </row>
    <row r="5" customFormat="false" ht="15" hidden="false" customHeight="false" outlineLevel="0" collapsed="false">
      <c r="A5" s="2" t="s">
        <v>489</v>
      </c>
      <c r="B5" s="2" t="s">
        <v>490</v>
      </c>
      <c r="C5" s="2" t="s">
        <v>491</v>
      </c>
    </row>
    <row r="6" customFormat="false" ht="23.85" hidden="false" customHeight="false" outlineLevel="0" collapsed="false">
      <c r="A6" s="2" t="s">
        <v>492</v>
      </c>
      <c r="B6" s="2" t="s">
        <v>493</v>
      </c>
      <c r="C6" s="2" t="s">
        <v>494</v>
      </c>
    </row>
    <row r="7" customFormat="false" ht="23.85" hidden="false" customHeight="false" outlineLevel="0" collapsed="false">
      <c r="A7" s="2" t="s">
        <v>495</v>
      </c>
      <c r="B7" s="2" t="s">
        <v>496</v>
      </c>
      <c r="C7" s="2" t="s">
        <v>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2026-10-28T22:55:16Z</dcterms:created>
  <dc:creator>openpyxl</dc:creator>
  <dc:description/>
  <dc:language>en-US</dc:language>
  <cp:lastModifiedBy/>
  <dcterms:modified xsi:type="dcterms:W3CDTF">2026-10-28T22:55:16Z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